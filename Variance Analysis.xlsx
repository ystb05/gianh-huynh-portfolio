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0c9ca29a393eee01/Sản phẩm/sản phẩm/Var Analysis/"/>
    </mc:Choice>
  </mc:AlternateContent>
  <xr:revisionPtr revIDLastSave="302" documentId="13_ncr:1_{D0DAEB74-8170-46DE-A6FC-92340C940043}" xr6:coauthVersionLast="47" xr6:coauthVersionMax="47" xr10:uidLastSave="{F97F3289-C942-452E-95EA-8E720C74B8BA}"/>
  <bookViews>
    <workbookView xWindow="-108" yWindow="-108" windowWidth="23256" windowHeight="12456" tabRatio="500" activeTab="1" xr2:uid="{00000000-000D-0000-FFFF-FFFF00000000}"/>
  </bookViews>
  <sheets>
    <sheet name="Case study" sheetId="1" r:id="rId1"/>
    <sheet name="VR 3F" sheetId="2" r:id="rId2"/>
  </sheets>
  <definedNames>
    <definedName name="_xlchart.v1.0" hidden="1">'VR 3F'!$F$23:$J$23</definedName>
    <definedName name="_xlchart.v1.1" hidden="1">'VR 3F'!$F$24:$J$24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13" i="2" l="1"/>
  <c r="K11" i="2"/>
  <c r="M11" i="2"/>
  <c r="N11" i="2"/>
  <c r="K12" i="2"/>
  <c r="M12" i="2"/>
  <c r="K13" i="2"/>
  <c r="N13" i="2"/>
  <c r="K14" i="2"/>
  <c r="M14" i="2"/>
  <c r="N14" i="2"/>
  <c r="H12" i="2"/>
  <c r="H13" i="2"/>
  <c r="H14" i="2"/>
  <c r="H23" i="2"/>
  <c r="F23" i="2"/>
  <c r="I23" i="2"/>
  <c r="G23" i="2"/>
  <c r="J23" i="2"/>
  <c r="Q33" i="2"/>
  <c r="P33" i="2"/>
  <c r="P30" i="2"/>
  <c r="P32" i="2"/>
  <c r="P31" i="2"/>
  <c r="P29" i="2"/>
  <c r="P28" i="2"/>
  <c r="D12" i="2"/>
  <c r="D13" i="2"/>
  <c r="D14" i="2"/>
  <c r="D10" i="2"/>
  <c r="D11" i="2"/>
  <c r="H11" i="2"/>
  <c r="F12" i="2"/>
  <c r="F13" i="2"/>
  <c r="F14" i="2"/>
  <c r="F11" i="2"/>
  <c r="N12" i="2" l="1"/>
  <c r="S11" i="2"/>
  <c r="I13" i="2"/>
  <c r="I14" i="2"/>
  <c r="I12" i="2"/>
  <c r="S12" i="2"/>
  <c r="S13" i="2"/>
  <c r="S14" i="2"/>
  <c r="H15" i="2"/>
  <c r="M15" i="2"/>
  <c r="K15" i="2"/>
  <c r="I11" i="2"/>
  <c r="F15" i="2"/>
  <c r="G11" i="2" s="1"/>
  <c r="L12" i="2" l="1"/>
  <c r="L13" i="2"/>
  <c r="L14" i="2"/>
  <c r="L11" i="2"/>
  <c r="Q11" i="2"/>
  <c r="P11" i="2"/>
  <c r="I15" i="2"/>
  <c r="N15" i="2"/>
  <c r="J24" i="2" s="1"/>
  <c r="S15" i="2"/>
  <c r="I24" i="2" s="1"/>
  <c r="G12" i="2"/>
  <c r="G14" i="2"/>
  <c r="P14" i="2" s="1"/>
  <c r="G13" i="2"/>
  <c r="R11" i="2" l="1"/>
  <c r="T11" i="2" s="1"/>
  <c r="F24" i="2"/>
  <c r="T17" i="2"/>
  <c r="Q31" i="2"/>
  <c r="R24" i="2"/>
  <c r="S24" i="2" s="1"/>
  <c r="L15" i="2"/>
  <c r="Q14" i="2"/>
  <c r="R14" i="2" s="1"/>
  <c r="T14" i="2" s="1"/>
  <c r="Q12" i="2"/>
  <c r="P12" i="2"/>
  <c r="Q13" i="2"/>
  <c r="P13" i="2"/>
  <c r="G15" i="2"/>
  <c r="R13" i="2" l="1"/>
  <c r="T13" i="2" s="1"/>
  <c r="P15" i="2"/>
  <c r="G24" i="2" s="1"/>
  <c r="R12" i="2"/>
  <c r="Q15" i="2"/>
  <c r="H24" i="2" s="1"/>
  <c r="Q28" i="2" l="1"/>
  <c r="R22" i="2"/>
  <c r="S22" i="2" s="1"/>
  <c r="Q29" i="2"/>
  <c r="R23" i="2"/>
  <c r="S23" i="2" s="1"/>
  <c r="R15" i="2"/>
  <c r="Q30" i="2" s="1"/>
  <c r="T12" i="2"/>
  <c r="T15" i="2" s="1"/>
  <c r="Q32" i="2" l="1"/>
  <c r="Q34" i="2" s="1"/>
  <c r="U17" i="2"/>
  <c r="R29" i="2" l="1"/>
  <c r="R28" i="2"/>
  <c r="R31" i="2"/>
  <c r="R32" i="2"/>
  <c r="R30" i="2" l="1"/>
</calcChain>
</file>

<file path=xl/sharedStrings.xml><?xml version="1.0" encoding="utf-8"?>
<sst xmlns="http://schemas.openxmlformats.org/spreadsheetml/2006/main" count="83" uniqueCount="69">
  <si>
    <t>Nhà máy Bia Sài Thành - SKU: Bia lon 330ml</t>
  </si>
  <si>
    <t xml:space="preserve">CONTEXT </t>
  </si>
  <si>
    <t>Cuộc họp review chi phí tháng 6 tại Nhà máy Bia Sài Thành. Kế toán quản trị báo cáo: chi phí nguyên liệu nấu thực tế cho mỗi lon bia 330ml đang cao hơn định mức (standard cost). Với sản lượng 5,000,000 lon/tháng, phần chênh lệch này đang ăn mòn biên lợi nhuận gộp của cả nhà máy.
PHẠM VI PHÂN TÍCH: case chỉ xét 04 nguyên liệu nấu chính (malt, gạo tấm, hoa bia, nước nấu). KHÔNG bao gồm vỏ lon nhôm và nắp, bao bì carton, men và phụ liệu, nhân công trực tiếp, điện/hơi/nước lạnh, khấu hao dây chuyền, chi phí sản xuất chung, thuế TTĐB và VAT. Do đó con số ở bảng dưới là chi phí nguyên liệu trực tiếp của phần dịch bia, KHÔNG phải giá thành đầy đủ của một lon bia.</t>
  </si>
  <si>
    <t xml:space="preserve">CONFLICT </t>
  </si>
  <si>
    <t xml:space="preserve"> CEO chỉ nhìn vào mức chênh lệch tổng và lập tức quy trách nhiệm cho phòng Mua hàng:
"Giá malt và hoa bia nhập khẩu năm nay tăng, ai cũng biết. Nhưng các anh mua vào thế nào mà chi phí nguyên liệu đội lên như vậy? Purchasing phải chịu toàn bộ trách nhiệm!"
</t>
  </si>
  <si>
    <t>Giám đốc Mua hàng phản ứng: đội của ông đã đàm phán được giá hoa bia giảm so với định mức, và nghi ngờ phần lớn chênh lệch đến từ khâu vận hành: lượng nguyên liệu nạp vào mỗi lon cao hơn định mức và tỷ lệ phối trộn bị lệch công thức. Nhưng ông không có công cụ dữ liệu nào để tách bạch phần trách nhiệm của từng bộ phận.</t>
  </si>
  <si>
    <t xml:space="preserve">TASK </t>
  </si>
  <si>
    <t>Phân tích biến động để trả lời cho câu hỏi: ai thực sự chịu trách nhiệm, và bao nhiêu VNĐ?</t>
  </si>
  <si>
    <t>DỮ LIỆU THÔ - NGUYÊN LIỆU NẤU (cho 01 lon bia 330ml)</t>
  </si>
  <si>
    <t>STANDARD</t>
  </si>
  <si>
    <t>ACTUAL</t>
  </si>
  <si>
    <t>RM Code</t>
  </si>
  <si>
    <t>Ingredients</t>
  </si>
  <si>
    <t>Quantity (g)</t>
  </si>
  <si>
    <t>Unit price
(VND/g)</t>
  </si>
  <si>
    <t>B001</t>
  </si>
  <si>
    <t>Barley malt</t>
  </si>
  <si>
    <t>R001</t>
  </si>
  <si>
    <t>Rice grits</t>
  </si>
  <si>
    <t>H001</t>
  </si>
  <si>
    <t>Hops pellets</t>
  </si>
  <si>
    <t>W001</t>
  </si>
  <si>
    <t>Brewing water</t>
  </si>
  <si>
    <t>Ghi chú</t>
  </si>
  <si>
    <t>Sản lượng tháng (lon)</t>
  </si>
  <si>
    <t>Giá bán lẻ tham chiếu (VND)</t>
  </si>
  <si>
    <t>Đã gồm thuế TTĐB và VAT, không dùng để so trực tiếp với chi phí nguyên liệu ở bảng trên</t>
  </si>
  <si>
    <t>Đơn giá nước nấu là nước đã xử lý đạt chuẩn nấu bia, đã phân bổ hoá chất và năng lượng xử lý.</t>
  </si>
  <si>
    <t xml:space="preserve">RAW MATERIAL VARIANCE ANALYSIS (3F) </t>
  </si>
  <si>
    <t>Mã:</t>
  </si>
  <si>
    <t>Mô tả:</t>
  </si>
  <si>
    <t>Bia lon 330ml, lon nhôm, ABV 4.5%</t>
  </si>
  <si>
    <t>Nhà máy:</t>
  </si>
  <si>
    <t>Bia Sài Thành -kỳ tháng 6</t>
  </si>
  <si>
    <t>STANDARD PLAN</t>
  </si>
  <si>
    <t>VARIANCE</t>
  </si>
  <si>
    <t>No.</t>
  </si>
  <si>
    <t>Quantity
(g)</t>
  </si>
  <si>
    <t>Mix
(%)</t>
  </si>
  <si>
    <t>Amount
(VND)</t>
  </si>
  <si>
    <t>ΔYield</t>
  </si>
  <si>
    <t>ΔMix</t>
  </si>
  <si>
    <t>ΔUsage</t>
  </si>
  <si>
    <t>ΔPrice</t>
  </si>
  <si>
    <t>ΔTotal</t>
  </si>
  <si>
    <t>Variance Analysis</t>
  </si>
  <si>
    <t xml:space="preserve"> Quy ước dấu: biến động = Standard - Actual (tác động tới lợi nhuận) → số âm = adverse, số dương = favorable</t>
  </si>
  <si>
    <t>Check</t>
  </si>
  <si>
    <t>Nhận định của CEO không đúng. Giá mua (ΔPrice) chỉ làm chi phí nguyên liệu tăng 35.2 VNĐ/lon 330ml, tương đương 17.9% tổng biến động 196.2 VNĐ. Riêng Hops pellets còn cho biến động có lợi +4.5 VNĐ, xác nhận Purchasing đã đàm phán được giá giảm so với định mức. Phần lớn biến động (-161 VNĐ, 82.1%) nằm ở ΔUsage: ΔYield -68.3 VNĐ do lượng nguyên liệu nạp vào tăng từ 400.40g lên 417.45g, thuộc trách nhiệm Production; và ΔMix -92.7 VNĐ do tỷ lệ phối trộn lệch công thức, nặng nhất ở Barley malt (-39.8 VNĐ), thuộc trách nhiệm QC/R&amp;D. Như vậy, Purchasing chỉ chịu 17.9%, không phải toàn bộ.</t>
  </si>
  <si>
    <t>LOGIC PHÂN TÍCH 3 NHÂN TỐ TÁC ĐỘNG CHI PHÍ  NVL</t>
  </si>
  <si>
    <t>Strategy: (1) Sản xuất: rà soát tổn thất ở khâu nấu, lọc và chiết, đặt KPI hao hụt ≤ định mức 400.4 g/lon. (2) QC/ R&amp;D: siết dung sai cân đong hoa bia và malt, kiểm soát lại tỷ lệ phối trộn theo mẻ. (3) Purchasing: giữ nguyên chiến lược chốt giá hoa bia, mở rộng hợp đồng dài hạn cho malt và gạo tấm.</t>
  </si>
  <si>
    <t>Nhân tố</t>
  </si>
  <si>
    <t>Trả lời cho câu hỏi</t>
  </si>
  <si>
    <t>Giá trị</t>
  </si>
  <si>
    <t>Favorable/Adverse</t>
  </si>
  <si>
    <t>Bộ phận chịu trách nhiệm</t>
  </si>
  <si>
    <t>① ΔYIELD</t>
  </si>
  <si>
    <t>Nếu mix và giá mua giữ nguyên định mức, việc dùng 417.45g thay vì 400.40g nguyên liệu làm chi phí sản xuất 1 lon bia 330ml tăng bao nhiêu VNĐ?</t>
  </si>
  <si>
    <t>Production</t>
  </si>
  <si>
    <t>② ΔMIX</t>
  </si>
  <si>
    <t>Nếu giá mua không đổi, tỷ lệ phối trộn 417.45g nguyên liệu theo tỷ lệ thực tế thay vì tỷ lệ định mức ảnh hưởng bao nhiêu đến chi phí sản xuất 1 lon bia 330ml</t>
  </si>
  <si>
    <t>Quality control, R&amp;D</t>
  </si>
  <si>
    <t>③ ΔPRICE</t>
  </si>
  <si>
    <t>Giá mua tác động như nào khi dùng 417.45g nguyên liệu để sản xuất ra 1 lon bia 330ml</t>
  </si>
  <si>
    <t>Purchasing</t>
  </si>
  <si>
    <t>TỔNG KẾT</t>
  </si>
  <si>
    <t>Yếu tố</t>
  </si>
  <si>
    <t>Chiếm</t>
  </si>
  <si>
    <t>Tác động lên chi phí tháng (VND)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</si>
</sst>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0.00\);\-"/>
    <numFmt numFmtId="165" formatCode="0.0"/>
    <numFmt numFmtId="166" formatCode="_(* #,##0_);_(* \(#,##0\);_(* &quot;-&quot;??_);_(@_)"/>
    <numFmt numFmtId="167" formatCode="#,##0.0"/>
    <numFmt numFmtId="168" formatCode="_(* #,##0.0_);_(* \(#,##0.0\);_(* &quot;-&quot;??_);_(@_)"/>
  </numFmts>
  <fonts count="24" x14ac:knownFonts="1">
    <font>
      <sz val="11"/>
      <color theme="1"/>
      <name val="Calibri"/>
      <family val="2"/>
      <charset val="1"/>
    </font>
    <font>
      <sz val="11"/>
      <color theme="1"/>
      <name val="Times New Roman"/>
      <family val="1"/>
    </font>
    <font>
      <b/>
      <sz val="11"/>
      <color theme="1"/>
      <name val="Times New Roman"/>
      <family val="1"/>
    </font>
    <font>
      <sz val="15"/>
      <color theme="1"/>
      <name val="Times New Roman"/>
      <family val="1"/>
    </font>
    <font>
      <b/>
      <sz val="15"/>
      <color theme="1"/>
      <name val="Arial"/>
      <family val="2"/>
    </font>
    <font>
      <b/>
      <sz val="10"/>
      <color theme="1"/>
      <name val="Arial"/>
      <family val="2"/>
    </font>
    <font>
      <sz val="10"/>
      <color theme="1"/>
      <name val="Arial"/>
      <family val="2"/>
    </font>
    <font>
      <b/>
      <sz val="11"/>
      <color theme="1"/>
      <name val="Arial"/>
      <family val="2"/>
    </font>
    <font>
      <sz val="11"/>
      <color theme="1"/>
      <name val="Arial"/>
      <family val="2"/>
    </font>
    <font>
      <i/>
      <sz val="9"/>
      <color theme="1"/>
      <name val="Arial"/>
      <family val="2"/>
    </font>
    <font>
      <b/>
      <sz val="12"/>
      <color theme="1"/>
      <name val="Arial"/>
      <family val="2"/>
    </font>
    <font>
      <b/>
      <sz val="11"/>
      <color theme="0"/>
      <name val="Arial"/>
      <family val="2"/>
    </font>
    <font>
      <sz val="9"/>
      <color theme="1"/>
      <name val="Times New Roman"/>
      <family val="1"/>
    </font>
    <font>
      <sz val="11"/>
      <color theme="1"/>
      <name val="Calibri"/>
      <family val="2"/>
      <charset val="1"/>
    </font>
    <font>
      <sz val="11"/>
      <color rgb="FF006100"/>
      <name val="Calibri"/>
      <family val="2"/>
      <scheme val="minor"/>
    </font>
    <font>
      <b/>
      <sz val="10"/>
      <color theme="4"/>
      <name val="Arial"/>
      <family val="2"/>
    </font>
    <font>
      <b/>
      <sz val="11"/>
      <color theme="1"/>
      <name val="Calibri"/>
      <family val="2"/>
    </font>
    <font>
      <b/>
      <sz val="10"/>
      <color rgb="FFFF0000"/>
      <name val="Arial"/>
      <family val="2"/>
    </font>
    <font>
      <sz val="11"/>
      <color theme="0"/>
      <name val="Arial"/>
      <family val="2"/>
    </font>
    <font>
      <sz val="11"/>
      <color theme="0"/>
      <name val="Calibri"/>
      <family val="2"/>
      <charset val="1"/>
    </font>
    <font>
      <sz val="11"/>
      <color rgb="FF002060"/>
      <name val="Calibri"/>
      <family val="2"/>
      <charset val="1"/>
    </font>
    <font>
      <b/>
      <sz val="11"/>
      <color theme="0"/>
      <name val="Calibri"/>
      <family val="2"/>
    </font>
    <font>
      <sz val="11"/>
      <color theme="1"/>
      <name val="Calibri"/>
      <family val="2"/>
    </font>
    <font>
      <sz val="9"/>
      <color theme="1"/>
      <name val="Calibri"/>
      <family val="2"/>
      <charset val="1"/>
    </font>
  </fonts>
  <fills count="15">
    <fill>
      <patternFill patternType="none"/>
    </fill>
    <fill>
      <patternFill patternType="gray125"/>
    </fill>
    <fill>
      <patternFill patternType="solid">
        <fgColor rgb="FF1F3864"/>
        <bgColor rgb="FF333333"/>
      </patternFill>
    </fill>
    <fill>
      <patternFill patternType="solid">
        <fgColor rgb="FFD9E2F3"/>
        <bgColor rgb="FFF2F2F2"/>
      </patternFill>
    </fill>
    <fill>
      <patternFill patternType="solid">
        <fgColor rgb="FFC6EFCE"/>
      </patternFill>
    </fill>
    <fill>
      <patternFill patternType="solid">
        <fgColor theme="3" tint="0.79998168889431442"/>
        <bgColor rgb="FFFFFFCC"/>
      </patternFill>
    </fill>
    <fill>
      <patternFill patternType="solid">
        <fgColor theme="3" tint="0.59999389629810485"/>
        <bgColor rgb="FFFFF2CC"/>
      </patternFill>
    </fill>
    <fill>
      <patternFill patternType="solid">
        <fgColor rgb="FF002060"/>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6" tint="0.79998168889431442"/>
        <bgColor rgb="FFFFF2CC"/>
      </patternFill>
    </fill>
    <fill>
      <patternFill patternType="solid">
        <fgColor theme="0"/>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249977111117893"/>
        <bgColor indexed="64"/>
      </patternFill>
    </fill>
  </fills>
  <borders count="12">
    <border>
      <left/>
      <right/>
      <top/>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right/>
      <top style="thin">
        <color indexed="64"/>
      </top>
      <bottom style="thin">
        <color indexed="64"/>
      </bottom>
      <diagonal/>
    </border>
  </borders>
  <cellStyleXfs count="4">
    <xf numFmtId="0" fontId="0" fillId="0" borderId="0"/>
    <xf numFmtId="43" fontId="13" fillId="0" borderId="0" applyFont="0" applyFill="0" applyBorder="0" applyAlignment="0" applyProtection="0"/>
    <xf numFmtId="9" fontId="13" fillId="0" borderId="0" applyFont="0" applyFill="0" applyBorder="0" applyAlignment="0" applyProtection="0"/>
    <xf numFmtId="0" fontId="14" fillId="4" borderId="0" applyNumberFormat="0" applyBorder="0" applyAlignment="0" applyProtection="0"/>
  </cellStyleXfs>
  <cellXfs count="93">
    <xf numFmtId="0" fontId="0" fillId="0" borderId="0" xfId="0"/>
    <xf numFmtId="0" fontId="1" fillId="0" borderId="0" xfId="0" applyFont="1"/>
    <xf numFmtId="0" fontId="2" fillId="0" borderId="0" xfId="0" applyFont="1" applyAlignment="1">
      <alignment vertical="center"/>
    </xf>
    <xf numFmtId="0" fontId="3" fillId="0" borderId="0" xfId="0" applyFont="1" applyAlignment="1">
      <alignment vertical="center"/>
    </xf>
    <xf numFmtId="0" fontId="2" fillId="0" borderId="0" xfId="0" applyFont="1" applyAlignment="1">
      <alignment vertical="top" wrapText="1"/>
    </xf>
    <xf numFmtId="0" fontId="1" fillId="0" borderId="1" xfId="0" applyFont="1" applyBorder="1"/>
    <xf numFmtId="0" fontId="2"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vertical="center"/>
    </xf>
    <xf numFmtId="4" fontId="1" fillId="0" borderId="1" xfId="0" applyNumberFormat="1" applyFont="1" applyBorder="1" applyAlignment="1">
      <alignment horizontal="center" vertical="center"/>
    </xf>
    <xf numFmtId="0" fontId="9" fillId="0" borderId="0" xfId="0" applyFont="1" applyAlignment="1">
      <alignment horizontal="center" vertical="center"/>
    </xf>
    <xf numFmtId="0" fontId="10" fillId="0" borderId="0" xfId="0" applyFont="1" applyAlignment="1">
      <alignment vertical="center"/>
    </xf>
    <xf numFmtId="0" fontId="12" fillId="0" borderId="0" xfId="0" applyFont="1" applyAlignment="1">
      <alignment vertical="center"/>
    </xf>
    <xf numFmtId="0" fontId="12" fillId="0" borderId="0" xfId="0" applyFont="1"/>
    <xf numFmtId="0" fontId="11" fillId="0" borderId="0" xfId="0" applyFont="1" applyAlignment="1">
      <alignment horizontal="center" vertical="center"/>
    </xf>
    <xf numFmtId="0" fontId="8" fillId="0" borderId="2" xfId="0" applyFont="1" applyBorder="1" applyAlignment="1">
      <alignment horizontal="center" vertical="center"/>
    </xf>
    <xf numFmtId="0" fontId="7" fillId="0" borderId="2" xfId="0" applyFont="1" applyBorder="1" applyAlignment="1">
      <alignment horizontal="center" vertical="center" wrapText="1"/>
    </xf>
    <xf numFmtId="4" fontId="8" fillId="0" borderId="2" xfId="0" applyNumberFormat="1" applyFont="1" applyBorder="1" applyAlignment="1">
      <alignment horizontal="center" vertical="center"/>
    </xf>
    <xf numFmtId="10" fontId="8" fillId="0" borderId="2" xfId="0" applyNumberFormat="1" applyFont="1" applyBorder="1" applyAlignment="1">
      <alignment horizontal="center" vertical="center"/>
    </xf>
    <xf numFmtId="164" fontId="8" fillId="0" borderId="2" xfId="0" applyNumberFormat="1" applyFont="1" applyBorder="1" applyAlignment="1">
      <alignment horizontal="center" vertical="center"/>
    </xf>
    <xf numFmtId="0" fontId="4" fillId="0" borderId="3" xfId="0" applyFont="1" applyBorder="1" applyAlignment="1">
      <alignment vertical="center"/>
    </xf>
    <xf numFmtId="0" fontId="0" fillId="0" borderId="3" xfId="0" applyBorder="1"/>
    <xf numFmtId="1" fontId="6" fillId="0" borderId="0" xfId="0" applyNumberFormat="1" applyFont="1" applyAlignment="1">
      <alignment horizontal="left" vertical="center"/>
    </xf>
    <xf numFmtId="0" fontId="6" fillId="0" borderId="0" xfId="0" applyFont="1" applyAlignment="1">
      <alignment vertical="center"/>
    </xf>
    <xf numFmtId="0" fontId="15" fillId="0" borderId="4" xfId="0" applyFont="1" applyBorder="1" applyAlignment="1">
      <alignment vertical="center"/>
    </xf>
    <xf numFmtId="1" fontId="6" fillId="0" borderId="5" xfId="0" applyNumberFormat="1" applyFont="1" applyBorder="1" applyAlignment="1">
      <alignment horizontal="left" vertical="center"/>
    </xf>
    <xf numFmtId="0" fontId="15" fillId="0" borderId="6" xfId="0" applyFont="1" applyBorder="1" applyAlignment="1">
      <alignment vertical="center"/>
    </xf>
    <xf numFmtId="0" fontId="6" fillId="0" borderId="7" xfId="0" applyFont="1" applyBorder="1" applyAlignment="1">
      <alignment vertical="center"/>
    </xf>
    <xf numFmtId="0" fontId="15" fillId="0" borderId="8" xfId="0" applyFont="1" applyBorder="1" applyAlignment="1">
      <alignment vertical="center"/>
    </xf>
    <xf numFmtId="0" fontId="6" fillId="0" borderId="9" xfId="0" applyFont="1" applyBorder="1" applyAlignment="1">
      <alignment vertical="center"/>
    </xf>
    <xf numFmtId="0" fontId="7" fillId="5" borderId="2" xfId="0" applyFont="1" applyFill="1" applyBorder="1" applyAlignment="1">
      <alignment horizontal="right" vertical="center"/>
    </xf>
    <xf numFmtId="9" fontId="7" fillId="5" borderId="2" xfId="2" applyFont="1" applyFill="1" applyBorder="1" applyAlignment="1">
      <alignment horizontal="right" vertical="center"/>
    </xf>
    <xf numFmtId="0" fontId="7" fillId="0" borderId="0" xfId="0" applyFont="1" applyAlignment="1">
      <alignment horizontal="right" vertical="center"/>
    </xf>
    <xf numFmtId="0" fontId="7" fillId="5" borderId="0" xfId="0" applyFont="1" applyFill="1" applyAlignment="1">
      <alignment horizontal="center" vertical="center"/>
    </xf>
    <xf numFmtId="0" fontId="0" fillId="0" borderId="0" xfId="0" applyAlignment="1">
      <alignment vertical="center" wrapText="1"/>
    </xf>
    <xf numFmtId="0" fontId="0" fillId="0" borderId="3" xfId="0" applyBorder="1" applyAlignment="1">
      <alignment horizontal="center" vertical="center"/>
    </xf>
    <xf numFmtId="165" fontId="0" fillId="0" borderId="3" xfId="0" applyNumberFormat="1" applyBorder="1" applyAlignment="1">
      <alignment horizontal="center" vertical="center"/>
    </xf>
    <xf numFmtId="165" fontId="7" fillId="5" borderId="0" xfId="0" applyNumberFormat="1" applyFont="1" applyFill="1" applyAlignment="1">
      <alignment horizontal="center" vertical="center"/>
    </xf>
    <xf numFmtId="0" fontId="5" fillId="6" borderId="0" xfId="0" applyFont="1" applyFill="1" applyAlignment="1">
      <alignment horizontal="center" vertical="center"/>
    </xf>
    <xf numFmtId="0" fontId="0" fillId="0" borderId="3" xfId="0" applyBorder="1" applyAlignment="1">
      <alignment horizontal="left" vertical="center" wrapText="1"/>
    </xf>
    <xf numFmtId="0" fontId="14" fillId="4" borderId="0" xfId="3" applyAlignment="1">
      <alignment horizontal="center" vertical="center"/>
    </xf>
    <xf numFmtId="165" fontId="0" fillId="0" borderId="0" xfId="0" applyNumberFormat="1"/>
    <xf numFmtId="164" fontId="0" fillId="0" borderId="0" xfId="0" applyNumberFormat="1"/>
    <xf numFmtId="9" fontId="0" fillId="0" borderId="0" xfId="2" applyFont="1"/>
    <xf numFmtId="3" fontId="12" fillId="0" borderId="0" xfId="0" applyNumberFormat="1" applyFont="1"/>
    <xf numFmtId="0" fontId="20" fillId="0" borderId="0" xfId="0" applyFont="1"/>
    <xf numFmtId="3" fontId="20" fillId="0" borderId="0" xfId="0" applyNumberFormat="1" applyFont="1"/>
    <xf numFmtId="0" fontId="0" fillId="0" borderId="3" xfId="0" applyBorder="1" applyAlignment="1">
      <alignment horizontal="left" vertical="center"/>
    </xf>
    <xf numFmtId="0" fontId="16" fillId="8" borderId="0" xfId="0" applyFont="1" applyFill="1"/>
    <xf numFmtId="9" fontId="16" fillId="8" borderId="0" xfId="0" applyNumberFormat="1" applyFont="1" applyFill="1"/>
    <xf numFmtId="166" fontId="16" fillId="0" borderId="0" xfId="1" applyNumberFormat="1" applyFont="1" applyFill="1" applyAlignment="1"/>
    <xf numFmtId="0" fontId="0" fillId="11" borderId="0" xfId="0" applyFill="1" applyAlignment="1">
      <alignment vertical="center" wrapText="1"/>
    </xf>
    <xf numFmtId="9" fontId="16" fillId="8" borderId="0" xfId="2" applyFont="1" applyFill="1"/>
    <xf numFmtId="0" fontId="18" fillId="11" borderId="0" xfId="0" applyFont="1" applyFill="1" applyAlignment="1">
      <alignment horizontal="center" vertical="top" wrapText="1"/>
    </xf>
    <xf numFmtId="167" fontId="19" fillId="11" borderId="0" xfId="0" applyNumberFormat="1" applyFont="1" applyFill="1"/>
    <xf numFmtId="0" fontId="0" fillId="0" borderId="10" xfId="0" applyBorder="1" applyAlignment="1">
      <alignment horizontal="left" vertical="center"/>
    </xf>
    <xf numFmtId="0" fontId="0" fillId="0" borderId="10" xfId="0" applyBorder="1" applyAlignment="1">
      <alignment horizontal="right" vertical="center" wrapText="1"/>
    </xf>
    <xf numFmtId="0" fontId="0" fillId="0" borderId="10" xfId="0" applyBorder="1" applyAlignment="1">
      <alignment horizontal="right"/>
    </xf>
    <xf numFmtId="0" fontId="16" fillId="8" borderId="0" xfId="0" applyFont="1" applyFill="1" applyAlignment="1">
      <alignment wrapText="1"/>
    </xf>
    <xf numFmtId="166" fontId="16" fillId="8" borderId="0" xfId="1" applyNumberFormat="1" applyFont="1" applyFill="1" applyAlignment="1">
      <alignment vertical="center"/>
    </xf>
    <xf numFmtId="168" fontId="7" fillId="5" borderId="2" xfId="1" applyNumberFormat="1" applyFont="1" applyFill="1" applyBorder="1" applyAlignment="1">
      <alignment horizontal="right" vertical="center"/>
    </xf>
    <xf numFmtId="0" fontId="2" fillId="0" borderId="0" xfId="0" applyFont="1"/>
    <xf numFmtId="0" fontId="17" fillId="0" borderId="0" xfId="0" applyFont="1" applyAlignment="1">
      <alignment horizontal="center" vertical="center"/>
    </xf>
    <xf numFmtId="0" fontId="7" fillId="9" borderId="10" xfId="0" applyFont="1" applyFill="1" applyBorder="1" applyAlignment="1">
      <alignment horizontal="center" vertical="center" wrapText="1"/>
    </xf>
    <xf numFmtId="164" fontId="8" fillId="9" borderId="0" xfId="0" applyNumberFormat="1" applyFont="1" applyFill="1" applyAlignment="1">
      <alignment horizontal="center" vertical="center"/>
    </xf>
    <xf numFmtId="0" fontId="7" fillId="12" borderId="10" xfId="0" applyFont="1" applyFill="1" applyBorder="1" applyAlignment="1">
      <alignment horizontal="center" vertical="center" wrapText="1"/>
    </xf>
    <xf numFmtId="164" fontId="8" fillId="12" borderId="0" xfId="0" applyNumberFormat="1" applyFont="1" applyFill="1" applyAlignment="1">
      <alignment horizontal="center" vertical="center"/>
    </xf>
    <xf numFmtId="0" fontId="7" fillId="13" borderId="10" xfId="0" applyFont="1" applyFill="1" applyBorder="1" applyAlignment="1">
      <alignment horizontal="center" vertical="center" wrapText="1"/>
    </xf>
    <xf numFmtId="164" fontId="8" fillId="13" borderId="0" xfId="0" applyNumberFormat="1" applyFont="1" applyFill="1" applyAlignment="1">
      <alignment horizontal="center" vertical="center"/>
    </xf>
    <xf numFmtId="0" fontId="11" fillId="14" borderId="10" xfId="0" applyFont="1" applyFill="1" applyBorder="1" applyAlignment="1">
      <alignment horizontal="center" vertical="center" wrapText="1"/>
    </xf>
    <xf numFmtId="164" fontId="18" fillId="14" borderId="0" xfId="0" applyNumberFormat="1" applyFont="1" applyFill="1" applyAlignment="1">
      <alignment horizontal="center" vertical="center"/>
    </xf>
    <xf numFmtId="0" fontId="2" fillId="0" borderId="0" xfId="0" applyFont="1" applyAlignment="1">
      <alignment horizontal="center" vertical="center"/>
    </xf>
    <xf numFmtId="0" fontId="16" fillId="0" borderId="10" xfId="0" applyFont="1" applyBorder="1" applyAlignment="1">
      <alignment vertical="center"/>
    </xf>
    <xf numFmtId="0" fontId="16" fillId="0" borderId="10" xfId="0" applyFont="1" applyBorder="1" applyAlignment="1">
      <alignment horizontal="center" vertical="center"/>
    </xf>
    <xf numFmtId="0" fontId="0" fillId="0" borderId="11" xfId="0" applyBorder="1" applyAlignment="1">
      <alignment horizontal="left" vertical="center"/>
    </xf>
    <xf numFmtId="0" fontId="0" fillId="0" borderId="11" xfId="0" applyBorder="1" applyAlignment="1">
      <alignment horizontal="left" vertical="center" wrapText="1"/>
    </xf>
    <xf numFmtId="165" fontId="0" fillId="0" borderId="11" xfId="0" applyNumberFormat="1" applyBorder="1" applyAlignment="1">
      <alignment horizontal="center" vertical="center"/>
    </xf>
    <xf numFmtId="0" fontId="0" fillId="0" borderId="11" xfId="0" applyBorder="1" applyAlignment="1">
      <alignment horizontal="center" vertical="center"/>
    </xf>
    <xf numFmtId="0" fontId="1" fillId="0" borderId="0" xfId="0" applyFont="1" applyAlignment="1">
      <alignment vertical="top" wrapText="1"/>
    </xf>
    <xf numFmtId="0" fontId="2" fillId="0" borderId="0" xfId="0" applyFont="1" applyAlignment="1">
      <alignment horizontal="left" vertical="center"/>
    </xf>
    <xf numFmtId="0" fontId="8" fillId="0" borderId="0" xfId="0" applyFont="1" applyAlignment="1">
      <alignment vertical="top" wrapText="1"/>
    </xf>
    <xf numFmtId="0" fontId="21" fillId="7" borderId="0" xfId="0" applyFont="1" applyFill="1" applyAlignment="1">
      <alignment horizontal="center" vertical="center"/>
    </xf>
    <xf numFmtId="0" fontId="8" fillId="10" borderId="0" xfId="0" applyFont="1" applyFill="1" applyAlignment="1">
      <alignment horizontal="left" vertical="center" wrapText="1"/>
    </xf>
    <xf numFmtId="0" fontId="22" fillId="9" borderId="0" xfId="0" applyFont="1" applyFill="1" applyAlignment="1">
      <alignment horizontal="left" vertical="center" wrapText="1"/>
    </xf>
    <xf numFmtId="0" fontId="0" fillId="9" borderId="0" xfId="0" applyFill="1" applyAlignment="1">
      <alignment horizontal="left" vertical="center" wrapText="1"/>
    </xf>
    <xf numFmtId="0" fontId="11" fillId="2" borderId="0" xfId="0" applyFont="1" applyFill="1" applyAlignment="1">
      <alignment horizontal="center" vertical="center"/>
    </xf>
    <xf numFmtId="0" fontId="9" fillId="0" borderId="0" xfId="0" applyFont="1" applyAlignment="1">
      <alignment vertical="center"/>
    </xf>
    <xf numFmtId="0" fontId="23" fillId="0" borderId="0" xfId="0" applyFont="1" applyAlignment="1">
      <alignment horizontal="left" vertical="top" wrapText="1"/>
    </xf>
    <xf numFmtId="0" fontId="8" fillId="0" borderId="0" xfId="0" applyFont="1" applyAlignment="1">
      <alignment vertical="top" wrapText="1"/>
    </xf>
    <xf numFmtId="0" fontId="1" fillId="0" borderId="0" xfId="0" applyFont="1" applyAlignment="1">
      <alignment vertical="top" wrapText="1"/>
    </xf>
    <xf numFmtId="0" fontId="2" fillId="0" borderId="0" xfId="0" applyFont="1" applyAlignment="1">
      <alignment horizontal="left" vertical="center"/>
    </xf>
    <xf numFmtId="0" fontId="2" fillId="0" borderId="1" xfId="0" applyFont="1" applyBorder="1" applyAlignment="1">
      <alignment horizontal="center" vertical="center"/>
    </xf>
    <xf numFmtId="0" fontId="1" fillId="0" borderId="0" xfId="0" applyFont="1" applyAlignment="1">
      <alignment horizontal="left" vertical="top" wrapText="1"/>
    </xf>
  </cellXfs>
  <cellStyles count="4">
    <cellStyle name="Comma" xfId="1" builtinId="3"/>
    <cellStyle name="Good" xfId="3" builtinId="26"/>
    <cellStyle name="Normal" xfId="0" builtinId="0"/>
    <cellStyle name="Percent" xfId="2" builtinId="5"/>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2CC"/>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val">
        <cx:f dir="row">_xlchart.v1.1</cx:f>
      </cx:numDim>
    </cx:data>
  </cx:chartData>
  <cx:chart>
    <cx:title pos="t" align="ctr" overlay="0">
      <cx:tx>
        <cx:txData>
          <cx:v>Standard vs Actual Variance</cx:v>
        </cx:txData>
      </cx:tx>
      <cx:txPr>
        <a:bodyPr vertOverflow="overflow" horzOverflow="overflow" wrap="square" lIns="0" tIns="0" rIns="0" bIns="0"/>
        <a:lstStyle/>
        <a:p>
          <a:pPr algn="ctr" rtl="0">
            <a:defRPr sz="1200" b="1" i="0">
              <a:solidFill>
                <a:srgbClr val="595959"/>
              </a:solidFill>
              <a:latin typeface="Calibri" panose="020F0502020204030204" pitchFamily="34" charset="0"/>
              <a:ea typeface="Calibri" panose="020F0502020204030204" pitchFamily="34" charset="0"/>
              <a:cs typeface="Calibri" panose="020F0502020204030204" pitchFamily="34" charset="0"/>
            </a:defRPr>
          </a:pPr>
          <a:r>
            <a:rPr lang="en-US" sz="1200" b="1"/>
            <a:t>Standard vs Actual Variance</a:t>
          </a:r>
        </a:p>
      </cx:txPr>
    </cx:title>
    <cx:plotArea>
      <cx:plotAreaRegion>
        <cx:series layoutId="waterfall" uniqueId="{00000000-8209-47A3-BE9F-F8392CB3CBF0}">
          <cx:dataLabels pos="outEnd">
            <cx:txPr>
              <a:bodyPr vertOverflow="overflow" horzOverflow="overflow" wrap="square" lIns="0" tIns="0" rIns="0" bIns="0"/>
              <a:lstStyle/>
              <a:p>
                <a:pPr algn="ctr" rtl="0">
                  <a:defRPr sz="9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US" sz="900"/>
              </a:p>
            </cx:txPr>
            <cx:visibility seriesName="0" categoryName="0" value="1"/>
          </cx:dataLabels>
          <cx:dataId val="0"/>
          <cx:layoutPr>
            <cx:subtotals>
              <cx:idx val="0"/>
              <cx:idx val="4"/>
            </cx:subtotals>
          </cx:layoutPr>
        </cx:series>
      </cx:plotAreaRegion>
      <cx:axis id="0">
        <cx:catScaling gapWidth="0.5"/>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xdr:row>
      <xdr:rowOff>778933</xdr:rowOff>
    </xdr:from>
    <xdr:to>
      <xdr:col>3</xdr:col>
      <xdr:colOff>618492</xdr:colOff>
      <xdr:row>31</xdr:row>
      <xdr:rowOff>235998</xdr:rowOff>
    </xdr:to>
    <xdr:pic>
      <xdr:nvPicPr>
        <xdr:cNvPr id="2" name="Picture 1" descr="Bia Sài Gòn xanh Lager lon 330ml giá tốt tại Bách hoá XANH">
          <a:extLst>
            <a:ext uri="{FF2B5EF4-FFF2-40B4-BE49-F238E27FC236}">
              <a16:creationId xmlns:a16="http://schemas.microsoft.com/office/drawing/2014/main" id="{EA4B5193-BF0C-5A2D-82B4-8E83D254BE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8567" y="5589058"/>
          <a:ext cx="4475692" cy="3425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728430</xdr:colOff>
      <xdr:row>21</xdr:row>
      <xdr:rowOff>475313</xdr:rowOff>
    </xdr:from>
    <xdr:to>
      <xdr:col>9</xdr:col>
      <xdr:colOff>26568</xdr:colOff>
      <xdr:row>27</xdr:row>
      <xdr:rowOff>179408</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AABCEFCC-CCFB-5C96-707C-9434AB3C8F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706070" y="5512133"/>
              <a:ext cx="4571178" cy="273685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9">
    <wetp:webextensionref xmlns:r="http://schemas.openxmlformats.org/officeDocument/2006/relationships" r:id="rId1"/>
  </wetp:taskpane>
  <wetp:taskpane dockstate="right" visibility="0" width="438" row="1">
    <wetp:webextensionref xmlns:r="http://schemas.openxmlformats.org/officeDocument/2006/relationships" r:id="rId2"/>
  </wetp:taskpane>
</wetp:taskpanes>
</file>

<file path=xl/webextensions/webextension1.xml><?xml version="1.0" encoding="utf-8"?>
<we:webextension xmlns:we="http://schemas.microsoft.com/office/webextensions/webextension/2010/11" id="{FFAEC8EC-956C-4CC5-B838-DAD85A177A8D}">
  <we:reference id="wa200010725" version="1.0.0.1" store="en-US" storeType="OMEX"/>
  <we:alternateReferences>
    <we:reference id="WA200010725" version="1.0.0.1" store="" storeType="OMEX"/>
  </we:alternateReferences>
  <we:properties>
    <we:property name="claude.fileId" value="&quot;d32b6f62-6325-4d9b-b1af-34c32ebae93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F31FBB19-4D92-4260-8513-3D8FD411D59F}">
  <we:reference id="wa200009404" version="1.0.0.8" store="en-US" storeType="OMEX"/>
  <we:alternateReferences>
    <we:reference id="WA200009404" version="1.0.0.8" store="" storeType="OMEX"/>
  </we:alternateReferences>
  <we:properties>
    <we:property name="claude.fileId" value="&quot;617105b2-946d-4822-aec9-814be6bd7127&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K39"/>
  <sheetViews>
    <sheetView showGridLines="0" zoomScale="115" zoomScaleNormal="100" workbookViewId="0">
      <selection activeCell="E4" sqref="E4"/>
    </sheetView>
  </sheetViews>
  <sheetFormatPr defaultColWidth="0" defaultRowHeight="13.8" x14ac:dyDescent="0.25"/>
  <cols>
    <col min="1" max="1" width="4" style="1" customWidth="1"/>
    <col min="2" max="2" width="16" style="1" customWidth="1"/>
    <col min="3" max="3" width="27.6640625" style="1" customWidth="1"/>
    <col min="4" max="9" width="14" style="1" customWidth="1"/>
    <col min="10" max="10" width="16" style="1" customWidth="1"/>
    <col min="11" max="11" width="8.6640625" style="1" customWidth="1"/>
    <col min="12" max="16384" width="8.6640625" style="1" hidden="1"/>
  </cols>
  <sheetData>
    <row r="1" spans="2:10" x14ac:dyDescent="0.25">
      <c r="B1" s="2"/>
    </row>
    <row r="2" spans="2:10" ht="19.2" x14ac:dyDescent="0.25">
      <c r="B2" s="3" t="s">
        <v>0</v>
      </c>
    </row>
    <row r="4" spans="2:10" x14ac:dyDescent="0.25">
      <c r="B4" s="2" t="s">
        <v>1</v>
      </c>
      <c r="C4" s="2"/>
      <c r="D4" s="2"/>
      <c r="E4" s="2"/>
      <c r="F4" s="2"/>
      <c r="G4" s="2"/>
      <c r="H4" s="2"/>
      <c r="I4" s="2"/>
      <c r="J4" s="2"/>
    </row>
    <row r="5" spans="2:10" ht="15" customHeight="1" x14ac:dyDescent="0.25">
      <c r="B5" s="89" t="s">
        <v>2</v>
      </c>
      <c r="C5" s="89"/>
      <c r="D5" s="89"/>
      <c r="E5" s="89"/>
      <c r="F5" s="89"/>
      <c r="G5" s="89"/>
      <c r="H5" s="89"/>
      <c r="I5" s="89"/>
      <c r="J5" s="89"/>
    </row>
    <row r="6" spans="2:10" x14ac:dyDescent="0.25">
      <c r="B6" s="89"/>
      <c r="C6" s="89"/>
      <c r="D6" s="89"/>
      <c r="E6" s="89"/>
      <c r="F6" s="89"/>
      <c r="G6" s="89"/>
      <c r="H6" s="89"/>
      <c r="I6" s="89"/>
      <c r="J6" s="89"/>
    </row>
    <row r="7" spans="2:10" ht="5.4" customHeight="1" x14ac:dyDescent="0.25">
      <c r="B7" s="89"/>
      <c r="C7" s="89"/>
      <c r="D7" s="89"/>
      <c r="E7" s="89"/>
      <c r="F7" s="89"/>
      <c r="G7" s="89"/>
      <c r="H7" s="89"/>
      <c r="I7" s="89"/>
      <c r="J7" s="89"/>
    </row>
    <row r="8" spans="2:10" x14ac:dyDescent="0.25">
      <c r="B8" s="2" t="s">
        <v>3</v>
      </c>
      <c r="C8" s="2"/>
      <c r="D8" s="2"/>
      <c r="E8" s="2"/>
      <c r="F8" s="2"/>
      <c r="G8" s="2"/>
      <c r="H8" s="2"/>
      <c r="I8" s="2"/>
      <c r="J8" s="2"/>
    </row>
    <row r="9" spans="2:10" ht="15" customHeight="1" x14ac:dyDescent="0.25">
      <c r="B9" s="92" t="s">
        <v>4</v>
      </c>
      <c r="C9" s="92"/>
      <c r="D9" s="92"/>
      <c r="E9" s="92"/>
      <c r="F9" s="92"/>
      <c r="G9" s="92"/>
      <c r="H9" s="92"/>
      <c r="I9" s="92"/>
      <c r="J9" s="92"/>
    </row>
    <row r="10" spans="2:10" x14ac:dyDescent="0.25">
      <c r="B10" s="92"/>
      <c r="C10" s="92"/>
      <c r="D10" s="92"/>
      <c r="E10" s="92"/>
      <c r="F10" s="92"/>
      <c r="G10" s="92"/>
      <c r="H10" s="92"/>
      <c r="I10" s="92"/>
      <c r="J10" s="92"/>
    </row>
    <row r="11" spans="2:10" ht="11.4" customHeight="1" x14ac:dyDescent="0.25">
      <c r="B11" s="78"/>
      <c r="C11" s="78"/>
      <c r="D11" s="78"/>
      <c r="E11" s="78"/>
      <c r="F11" s="78"/>
      <c r="G11" s="78"/>
      <c r="H11" s="78"/>
      <c r="I11" s="78"/>
      <c r="J11" s="78"/>
    </row>
    <row r="12" spans="2:10" ht="28.2" customHeight="1" x14ac:dyDescent="0.25">
      <c r="B12" s="92" t="s">
        <v>5</v>
      </c>
      <c r="C12" s="92"/>
      <c r="D12" s="92"/>
      <c r="E12" s="92"/>
      <c r="F12" s="92"/>
      <c r="G12" s="92"/>
      <c r="H12" s="92"/>
      <c r="I12" s="92"/>
      <c r="J12" s="92"/>
    </row>
    <row r="13" spans="2:10" ht="5.4" customHeight="1" x14ac:dyDescent="0.25">
      <c r="B13" s="92"/>
      <c r="C13" s="92"/>
      <c r="D13" s="92"/>
      <c r="E13" s="92"/>
      <c r="F13" s="92"/>
      <c r="G13" s="92"/>
      <c r="H13" s="92"/>
      <c r="I13" s="92"/>
      <c r="J13" s="92"/>
    </row>
    <row r="14" spans="2:10" x14ac:dyDescent="0.25">
      <c r="B14" s="61" t="s">
        <v>6</v>
      </c>
    </row>
    <row r="15" spans="2:10" x14ac:dyDescent="0.25">
      <c r="B15" s="1" t="s">
        <v>7</v>
      </c>
    </row>
    <row r="17" spans="2:10" x14ac:dyDescent="0.25">
      <c r="B17" s="90" t="s">
        <v>8</v>
      </c>
      <c r="C17" s="90"/>
      <c r="D17" s="90"/>
      <c r="E17" s="90"/>
      <c r="F17" s="90"/>
      <c r="G17" s="90"/>
      <c r="H17" s="90"/>
      <c r="I17" s="90"/>
      <c r="J17" s="90"/>
    </row>
    <row r="18" spans="2:10" x14ac:dyDescent="0.25">
      <c r="B18" s="5"/>
      <c r="C18" s="5"/>
      <c r="D18" s="91" t="s">
        <v>9</v>
      </c>
      <c r="E18" s="91"/>
      <c r="F18" s="91" t="s">
        <v>10</v>
      </c>
      <c r="G18" s="91"/>
    </row>
    <row r="19" spans="2:10" ht="31.5" customHeight="1" x14ac:dyDescent="0.25">
      <c r="B19" s="6" t="s">
        <v>11</v>
      </c>
      <c r="C19" s="6" t="s">
        <v>12</v>
      </c>
      <c r="D19" s="6" t="s">
        <v>13</v>
      </c>
      <c r="E19" s="6" t="s">
        <v>14</v>
      </c>
      <c r="F19" s="6" t="s">
        <v>13</v>
      </c>
      <c r="G19" s="6" t="s">
        <v>14</v>
      </c>
    </row>
    <row r="20" spans="2:10" x14ac:dyDescent="0.25">
      <c r="B20" s="7" t="s">
        <v>15</v>
      </c>
      <c r="C20" s="8" t="s">
        <v>16</v>
      </c>
      <c r="D20" s="9">
        <v>42</v>
      </c>
      <c r="E20" s="9">
        <v>18</v>
      </c>
      <c r="F20" s="9">
        <v>46</v>
      </c>
      <c r="G20" s="9">
        <v>18.3</v>
      </c>
    </row>
    <row r="21" spans="2:10" x14ac:dyDescent="0.25">
      <c r="B21" s="7" t="s">
        <v>17</v>
      </c>
      <c r="C21" s="8" t="s">
        <v>18</v>
      </c>
      <c r="D21" s="9">
        <v>18</v>
      </c>
      <c r="E21" s="9">
        <v>12</v>
      </c>
      <c r="F21" s="9">
        <v>21</v>
      </c>
      <c r="G21" s="9">
        <v>12.4</v>
      </c>
    </row>
    <row r="22" spans="2:10" x14ac:dyDescent="0.25">
      <c r="B22" s="7" t="s">
        <v>19</v>
      </c>
      <c r="C22" s="8" t="s">
        <v>20</v>
      </c>
      <c r="D22" s="9">
        <v>0.4</v>
      </c>
      <c r="E22" s="9">
        <v>900</v>
      </c>
      <c r="F22" s="9">
        <v>0.45</v>
      </c>
      <c r="G22" s="9">
        <v>890</v>
      </c>
    </row>
    <row r="23" spans="2:10" x14ac:dyDescent="0.25">
      <c r="B23" s="7" t="s">
        <v>21</v>
      </c>
      <c r="C23" s="8" t="s">
        <v>22</v>
      </c>
      <c r="D23" s="9">
        <v>340</v>
      </c>
      <c r="E23" s="9">
        <v>0.8</v>
      </c>
      <c r="F23" s="9">
        <v>350</v>
      </c>
      <c r="G23" s="9">
        <v>0.85</v>
      </c>
    </row>
    <row r="24" spans="2:10" x14ac:dyDescent="0.25">
      <c r="B24" s="71" t="s">
        <v>23</v>
      </c>
      <c r="C24" s="12" t="s">
        <v>24</v>
      </c>
      <c r="D24" s="44">
        <v>5000000</v>
      </c>
      <c r="E24" s="13"/>
    </row>
    <row r="25" spans="2:10" x14ac:dyDescent="0.25">
      <c r="B25" s="2"/>
      <c r="C25" s="12" t="s">
        <v>25</v>
      </c>
      <c r="D25" s="44">
        <v>12000</v>
      </c>
      <c r="E25" s="13"/>
    </row>
    <row r="26" spans="2:10" x14ac:dyDescent="0.25">
      <c r="C26" s="12" t="s">
        <v>26</v>
      </c>
      <c r="D26" s="13"/>
      <c r="E26" s="13"/>
    </row>
    <row r="27" spans="2:10" x14ac:dyDescent="0.25">
      <c r="C27" s="12" t="s">
        <v>27</v>
      </c>
    </row>
    <row r="28" spans="2:10" x14ac:dyDescent="0.25">
      <c r="B28" s="79"/>
      <c r="D28" s="79"/>
      <c r="E28" s="79"/>
      <c r="F28" s="79"/>
      <c r="G28" s="79"/>
      <c r="H28" s="79"/>
      <c r="I28" s="79"/>
      <c r="J28" s="79"/>
    </row>
    <row r="29" spans="2:10" ht="18" customHeight="1" x14ac:dyDescent="0.25">
      <c r="B29" s="78"/>
      <c r="C29" s="79"/>
      <c r="D29" s="78"/>
      <c r="E29" s="78"/>
      <c r="F29" s="78"/>
      <c r="G29" s="78"/>
      <c r="H29" s="78"/>
      <c r="I29" s="78"/>
      <c r="J29" s="78"/>
    </row>
    <row r="30" spans="2:10" ht="18" customHeight="1" x14ac:dyDescent="0.25">
      <c r="B30" s="78"/>
      <c r="C30" s="78"/>
      <c r="D30" s="78"/>
      <c r="E30" s="78"/>
      <c r="F30" s="78"/>
      <c r="G30" s="78"/>
      <c r="H30" s="78"/>
      <c r="I30" s="78"/>
      <c r="J30" s="78"/>
    </row>
    <row r="31" spans="2:10" ht="18" customHeight="1" x14ac:dyDescent="0.25">
      <c r="B31" s="78"/>
      <c r="C31" s="78"/>
      <c r="D31" s="78"/>
      <c r="E31" s="78"/>
      <c r="F31" s="78"/>
      <c r="G31" s="78"/>
      <c r="H31" s="78"/>
      <c r="I31" s="78"/>
      <c r="J31" s="78"/>
    </row>
    <row r="32" spans="2:10" ht="18" customHeight="1" x14ac:dyDescent="0.25">
      <c r="B32" s="78"/>
      <c r="C32" s="78"/>
      <c r="D32" s="78"/>
      <c r="E32" s="78"/>
      <c r="F32" s="78"/>
      <c r="G32" s="78"/>
      <c r="H32" s="78"/>
      <c r="I32" s="78"/>
      <c r="J32" s="78"/>
    </row>
    <row r="33" spans="2:10" ht="18" customHeight="1" x14ac:dyDescent="0.25">
      <c r="B33" s="78"/>
      <c r="C33" s="78"/>
      <c r="D33" s="78"/>
      <c r="E33" s="78"/>
      <c r="F33" s="78"/>
      <c r="G33" s="78"/>
      <c r="H33" s="78"/>
      <c r="I33" s="78"/>
      <c r="J33" s="78"/>
    </row>
    <row r="34" spans="2:10" ht="18" customHeight="1" x14ac:dyDescent="0.25">
      <c r="B34" s="78"/>
      <c r="C34" s="78"/>
      <c r="D34" s="78"/>
      <c r="E34" s="78"/>
      <c r="F34" s="78"/>
      <c r="G34" s="78"/>
      <c r="H34" s="78"/>
      <c r="I34" s="78"/>
      <c r="J34" s="78"/>
    </row>
    <row r="35" spans="2:10" ht="18" customHeight="1" x14ac:dyDescent="0.25">
      <c r="B35" s="78"/>
      <c r="C35" s="78"/>
      <c r="D35" s="78"/>
      <c r="E35" s="78"/>
      <c r="F35" s="78"/>
      <c r="G35" s="78"/>
      <c r="H35" s="78"/>
      <c r="I35" s="78"/>
      <c r="J35" s="78"/>
    </row>
    <row r="36" spans="2:10" x14ac:dyDescent="0.25">
      <c r="C36" s="78"/>
    </row>
    <row r="37" spans="2:10" ht="15" customHeight="1" x14ac:dyDescent="0.25">
      <c r="B37" s="4"/>
      <c r="D37" s="4"/>
      <c r="E37" s="4"/>
      <c r="F37" s="4"/>
      <c r="G37" s="4"/>
      <c r="H37" s="4"/>
      <c r="I37" s="4"/>
      <c r="J37" s="4"/>
    </row>
    <row r="38" spans="2:10" x14ac:dyDescent="0.25">
      <c r="B38" s="4"/>
      <c r="C38" s="4"/>
      <c r="D38" s="4"/>
      <c r="E38" s="4"/>
      <c r="F38" s="4"/>
      <c r="G38" s="4"/>
      <c r="H38" s="4"/>
      <c r="I38" s="4"/>
      <c r="J38" s="4"/>
    </row>
    <row r="39" spans="2:10" x14ac:dyDescent="0.25">
      <c r="C39" s="4"/>
    </row>
  </sheetData>
  <mergeCells count="6">
    <mergeCell ref="B5:J7"/>
    <mergeCell ref="B17:J17"/>
    <mergeCell ref="D18:E18"/>
    <mergeCell ref="F18:G18"/>
    <mergeCell ref="B9:J10"/>
    <mergeCell ref="B12:J1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AI37"/>
  <sheetViews>
    <sheetView showGridLines="0" tabSelected="1" topLeftCell="D3" zoomScale="86" zoomScaleNormal="86" workbookViewId="0">
      <selection activeCell="K10" sqref="K10:N14"/>
    </sheetView>
  </sheetViews>
  <sheetFormatPr defaultColWidth="0" defaultRowHeight="14.4" zeroHeight="1" x14ac:dyDescent="0.3"/>
  <cols>
    <col min="1" max="1" width="1.6640625" customWidth="1"/>
    <col min="2" max="2" width="25.44140625" customWidth="1"/>
    <col min="3" max="4" width="30.88671875" customWidth="1"/>
    <col min="5" max="5" width="2" customWidth="1"/>
    <col min="6" max="6" width="11" customWidth="1"/>
    <col min="7" max="7" width="10" customWidth="1"/>
    <col min="8" max="8" width="11" customWidth="1"/>
    <col min="9" max="9" width="12" customWidth="1"/>
    <col min="10" max="10" width="1.33203125" customWidth="1"/>
    <col min="11" max="11" width="11" customWidth="1"/>
    <col min="12" max="12" width="10" customWidth="1"/>
    <col min="13" max="13" width="11" customWidth="1"/>
    <col min="14" max="14" width="10.5546875" customWidth="1"/>
    <col min="15" max="15" width="0.6640625" customWidth="1"/>
    <col min="16" max="16" width="19.6640625" customWidth="1"/>
    <col min="17" max="17" width="34" customWidth="1"/>
    <col min="18" max="18" width="26.88671875" customWidth="1"/>
    <col min="19" max="19" width="22.33203125" customWidth="1"/>
    <col min="20" max="20" width="23.33203125" customWidth="1"/>
    <col min="21" max="21" width="8.6640625" customWidth="1"/>
    <col min="22" max="35" width="0" hidden="1" customWidth="1"/>
    <col min="36" max="16384" width="8.6640625" hidden="1"/>
  </cols>
  <sheetData>
    <row r="1" spans="2:20" ht="4.95" customHeight="1" x14ac:dyDescent="0.3"/>
    <row r="2" spans="2:20" s="21" customFormat="1" ht="16.2" customHeight="1" x14ac:dyDescent="0.3">
      <c r="B2" s="20" t="s">
        <v>28</v>
      </c>
    </row>
    <row r="3" spans="2:20" x14ac:dyDescent="0.3"/>
    <row r="4" spans="2:20" x14ac:dyDescent="0.3">
      <c r="B4" s="24" t="s">
        <v>29</v>
      </c>
      <c r="C4" s="25">
        <v>8934567890123</v>
      </c>
      <c r="D4" s="22"/>
    </row>
    <row r="5" spans="2:20" x14ac:dyDescent="0.3">
      <c r="B5" s="26" t="s">
        <v>30</v>
      </c>
      <c r="C5" s="27" t="s">
        <v>31</v>
      </c>
      <c r="D5" s="23"/>
    </row>
    <row r="6" spans="2:20" x14ac:dyDescent="0.3">
      <c r="B6" s="28" t="s">
        <v>32</v>
      </c>
      <c r="C6" s="29" t="s">
        <v>33</v>
      </c>
      <c r="D6" s="23"/>
    </row>
    <row r="7" spans="2:20" x14ac:dyDescent="0.3"/>
    <row r="8" spans="2:20" x14ac:dyDescent="0.3">
      <c r="F8" s="85" t="s">
        <v>34</v>
      </c>
      <c r="G8" s="85"/>
      <c r="H8" s="85"/>
      <c r="I8" s="85"/>
      <c r="K8" s="85" t="s">
        <v>10</v>
      </c>
      <c r="L8" s="85"/>
      <c r="M8" s="85"/>
      <c r="N8" s="85"/>
      <c r="P8" s="85" t="s">
        <v>35</v>
      </c>
      <c r="Q8" s="85"/>
      <c r="R8" s="85"/>
      <c r="S8" s="85"/>
      <c r="T8" s="85"/>
    </row>
    <row r="9" spans="2:20" ht="4.2" customHeight="1" x14ac:dyDescent="0.3">
      <c r="F9" s="14"/>
      <c r="G9" s="14"/>
      <c r="H9" s="14"/>
      <c r="I9" s="14"/>
      <c r="K9" s="14"/>
      <c r="L9" s="14"/>
      <c r="M9" s="14"/>
      <c r="N9" s="14"/>
      <c r="P9" s="14"/>
      <c r="Q9" s="14"/>
      <c r="R9" s="14"/>
      <c r="S9" s="14"/>
      <c r="T9" s="14"/>
    </row>
    <row r="10" spans="2:20" ht="33.75" customHeight="1" thickBot="1" x14ac:dyDescent="0.35">
      <c r="B10" s="16" t="s">
        <v>36</v>
      </c>
      <c r="C10" s="16" t="s">
        <v>11</v>
      </c>
      <c r="D10" s="16" t="str">
        <f>'Case study'!C19</f>
        <v>Ingredients</v>
      </c>
      <c r="F10" s="16" t="s">
        <v>37</v>
      </c>
      <c r="G10" s="16" t="s">
        <v>38</v>
      </c>
      <c r="H10" s="16" t="s">
        <v>14</v>
      </c>
      <c r="I10" s="16" t="s">
        <v>39</v>
      </c>
      <c r="K10" s="16" t="s">
        <v>37</v>
      </c>
      <c r="L10" s="16" t="s">
        <v>38</v>
      </c>
      <c r="M10" s="16" t="s">
        <v>14</v>
      </c>
      <c r="N10" s="16" t="s">
        <v>39</v>
      </c>
      <c r="P10" s="63" t="s">
        <v>40</v>
      </c>
      <c r="Q10" s="63" t="s">
        <v>41</v>
      </c>
      <c r="R10" s="65" t="s">
        <v>42</v>
      </c>
      <c r="S10" s="67" t="s">
        <v>43</v>
      </c>
      <c r="T10" s="69" t="s">
        <v>44</v>
      </c>
    </row>
    <row r="11" spans="2:20" ht="15" thickTop="1" x14ac:dyDescent="0.3">
      <c r="B11" s="15">
        <v>1</v>
      </c>
      <c r="C11" s="15" t="s">
        <v>15</v>
      </c>
      <c r="D11" s="15" t="str">
        <f>_xlfn.XLOOKUP(C11,'Case study'!$B$20:$B$23,'Case study'!$C$20:$C$23)</f>
        <v>Barley malt</v>
      </c>
      <c r="F11" s="17">
        <f>_xlfn.XLOOKUP($C11,'Case study'!B20:B23,'Case study'!D20:D23)</f>
        <v>42</v>
      </c>
      <c r="G11" s="18">
        <f>F11/$F$15</f>
        <v>0.1048951048951049</v>
      </c>
      <c r="H11" s="17">
        <f>_xlfn.XLOOKUP(C11,'Case study'!B20:B23,'Case study'!E20:E23)</f>
        <v>18</v>
      </c>
      <c r="I11" s="19">
        <f>F11*H11</f>
        <v>756</v>
      </c>
      <c r="K11" s="17">
        <f>_xlfn.XLOOKUP($C11,'Case study'!$B$20:$B$23,'Case study'!$F$20:$F$23)</f>
        <v>46</v>
      </c>
      <c r="L11" s="18">
        <f>K11/$K$15</f>
        <v>0.11019283746556474</v>
      </c>
      <c r="M11" s="17">
        <f>_xlfn.XLOOKUP($C11,'Case study'!$B$20:$B$23,'Case study'!$G$20:$G$23)</f>
        <v>18.3</v>
      </c>
      <c r="N11" s="19">
        <f>K11*M11</f>
        <v>841.80000000000007</v>
      </c>
      <c r="P11" s="64">
        <f>G11*H11*($F$15-$K$15)</f>
        <v>-32.192307692307715</v>
      </c>
      <c r="Q11" s="64">
        <f>H11*$K$15*(G11-L11)</f>
        <v>-39.807692307692321</v>
      </c>
      <c r="R11" s="66">
        <f>P11+Q11</f>
        <v>-72.000000000000028</v>
      </c>
      <c r="S11" s="68">
        <f>K11*(H11-M11)</f>
        <v>-13.800000000000033</v>
      </c>
      <c r="T11" s="70">
        <f>SUM(R11:S11)</f>
        <v>-85.800000000000068</v>
      </c>
    </row>
    <row r="12" spans="2:20" x14ac:dyDescent="0.3">
      <c r="B12" s="15">
        <v>2</v>
      </c>
      <c r="C12" s="15" t="s">
        <v>17</v>
      </c>
      <c r="D12" s="15" t="str">
        <f>_xlfn.XLOOKUP(C12,'Case study'!$B$20:$B$23,'Case study'!$C$20:$C$23)</f>
        <v>Rice grits</v>
      </c>
      <c r="F12" s="17">
        <f>_xlfn.XLOOKUP($C12,'Case study'!B21:B24,'Case study'!D21:D24)</f>
        <v>18</v>
      </c>
      <c r="G12" s="18">
        <f t="shared" ref="G12:G14" si="0">F12/$F$15</f>
        <v>4.4955044955044959E-2</v>
      </c>
      <c r="H12" s="17">
        <f>_xlfn.XLOOKUP(C12,'Case study'!B21:B24,'Case study'!E21:E24)</f>
        <v>12</v>
      </c>
      <c r="I12" s="19">
        <f t="shared" ref="I12:I14" si="1">F12*H12</f>
        <v>216</v>
      </c>
      <c r="K12" s="17">
        <f>_xlfn.XLOOKUP($C12,'Case study'!$B$20:$B$23,'Case study'!$F$20:$F$23)</f>
        <v>21</v>
      </c>
      <c r="L12" s="18">
        <f>K12/$K$15</f>
        <v>5.0305425799496949E-2</v>
      </c>
      <c r="M12" s="17">
        <f>_xlfn.XLOOKUP($C12,'Case study'!$B$20:$B$23,'Case study'!$G$20:$G$23)</f>
        <v>12.4</v>
      </c>
      <c r="N12" s="19">
        <f>K12*M12</f>
        <v>260.40000000000003</v>
      </c>
      <c r="P12" s="64">
        <f t="shared" ref="P12:P14" si="2">G12*H12*($F$15-$K$15)</f>
        <v>-9.1978021978022042</v>
      </c>
      <c r="Q12" s="64">
        <f t="shared" ref="Q12:Q14" si="3">H12*$K$15*(G12-L12)</f>
        <v>-26.802197802197792</v>
      </c>
      <c r="R12" s="66">
        <f t="shared" ref="R12:R14" si="4">P12+Q12</f>
        <v>-36</v>
      </c>
      <c r="S12" s="68">
        <f t="shared" ref="S12:S14" si="5">K12*(H12-M12)</f>
        <v>-8.4000000000000075</v>
      </c>
      <c r="T12" s="70">
        <f t="shared" ref="T12:T14" si="6">SUM(R12:S12)</f>
        <v>-44.400000000000006</v>
      </c>
    </row>
    <row r="13" spans="2:20" x14ac:dyDescent="0.3">
      <c r="B13" s="15">
        <v>3</v>
      </c>
      <c r="C13" s="15" t="s">
        <v>19</v>
      </c>
      <c r="D13" s="15" t="str">
        <f>_xlfn.XLOOKUP(C13,'Case study'!$B$20:$B$23,'Case study'!$C$20:$C$23)</f>
        <v>Hops pellets</v>
      </c>
      <c r="F13" s="17">
        <f>_xlfn.XLOOKUP($C13,'Case study'!B22:B26,'Case study'!D22:D26)</f>
        <v>0.4</v>
      </c>
      <c r="G13" s="18">
        <f t="shared" si="0"/>
        <v>9.9900099900099922E-4</v>
      </c>
      <c r="H13" s="17">
        <f>_xlfn.XLOOKUP(C13,'Case study'!B22:B25,'Case study'!E22:E25)</f>
        <v>900</v>
      </c>
      <c r="I13" s="19">
        <f t="shared" si="1"/>
        <v>360</v>
      </c>
      <c r="K13" s="17">
        <f>_xlfn.XLOOKUP($C13,'Case study'!$B$20:$B$23,'Case study'!$F$20:$F$23)</f>
        <v>0.45</v>
      </c>
      <c r="L13" s="18">
        <f>K13/$K$15</f>
        <v>1.0779734099892204E-3</v>
      </c>
      <c r="M13" s="17">
        <f>_xlfn.XLOOKUP($C13,'Case study'!$B$20:$B$23,'Case study'!$G$20:$G$23)</f>
        <v>890</v>
      </c>
      <c r="N13" s="19">
        <f>K13*M13</f>
        <v>400.5</v>
      </c>
      <c r="P13" s="64">
        <f t="shared" si="2"/>
        <v>-15.329670329670343</v>
      </c>
      <c r="Q13" s="64">
        <f t="shared" si="3"/>
        <v>-29.670329670329636</v>
      </c>
      <c r="R13" s="66">
        <f t="shared" si="4"/>
        <v>-44.999999999999979</v>
      </c>
      <c r="S13" s="68">
        <f t="shared" si="5"/>
        <v>4.5</v>
      </c>
      <c r="T13" s="70">
        <f t="shared" si="6"/>
        <v>-40.499999999999979</v>
      </c>
    </row>
    <row r="14" spans="2:20" x14ac:dyDescent="0.3">
      <c r="B14" s="15">
        <v>4</v>
      </c>
      <c r="C14" s="15" t="s">
        <v>21</v>
      </c>
      <c r="D14" s="15" t="str">
        <f>_xlfn.XLOOKUP(C14,'Case study'!$B$20:$B$23,'Case study'!$C$20:$C$23)</f>
        <v>Brewing water</v>
      </c>
      <c r="F14" s="17">
        <f>_xlfn.XLOOKUP($C14,'Case study'!B23:B27,'Case study'!D23:D27)</f>
        <v>340</v>
      </c>
      <c r="G14" s="18">
        <f t="shared" si="0"/>
        <v>0.84915084915084915</v>
      </c>
      <c r="H14" s="17">
        <f>_xlfn.XLOOKUP(C14,'Case study'!B23:B26,'Case study'!E23:E26)</f>
        <v>0.8</v>
      </c>
      <c r="I14" s="19">
        <f t="shared" si="1"/>
        <v>272</v>
      </c>
      <c r="K14" s="17">
        <f>_xlfn.XLOOKUP($C14,'Case study'!$B$20:$B$23,'Case study'!$F$20:$F$23)</f>
        <v>350</v>
      </c>
      <c r="L14" s="18">
        <f>K14/$K$15</f>
        <v>0.83842376332494917</v>
      </c>
      <c r="M14" s="17">
        <f>_xlfn.XLOOKUP($C14,'Case study'!$B$20:$B$23,'Case study'!$G$20:$G$23)</f>
        <v>0.85</v>
      </c>
      <c r="N14" s="19">
        <f>K14*M14</f>
        <v>297.5</v>
      </c>
      <c r="P14" s="64">
        <f t="shared" si="2"/>
        <v>-11.582417582417591</v>
      </c>
      <c r="Q14" s="64">
        <f t="shared" si="3"/>
        <v>3.582417582417559</v>
      </c>
      <c r="R14" s="66">
        <f t="shared" si="4"/>
        <v>-8.000000000000032</v>
      </c>
      <c r="S14" s="68">
        <f t="shared" si="5"/>
        <v>-17.499999999999975</v>
      </c>
      <c r="T14" s="70">
        <f t="shared" si="6"/>
        <v>-25.500000000000007</v>
      </c>
    </row>
    <row r="15" spans="2:20" x14ac:dyDescent="0.3">
      <c r="C15" s="32"/>
      <c r="D15" s="32"/>
      <c r="F15" s="30">
        <f>SUM(F11:F14)</f>
        <v>400.4</v>
      </c>
      <c r="G15" s="31">
        <f t="shared" ref="G15:I15" si="7">SUM(G11:G14)</f>
        <v>1</v>
      </c>
      <c r="H15" s="30">
        <f t="shared" si="7"/>
        <v>930.8</v>
      </c>
      <c r="I15" s="60">
        <f t="shared" si="7"/>
        <v>1604</v>
      </c>
      <c r="K15" s="30">
        <f>SUM(K11:K14)</f>
        <v>417.45</v>
      </c>
      <c r="L15" s="31">
        <f t="shared" ref="L15:N15" si="8">SUM(L11:L14)</f>
        <v>1</v>
      </c>
      <c r="M15" s="30">
        <f t="shared" si="8"/>
        <v>921.55000000000007</v>
      </c>
      <c r="N15" s="60">
        <f t="shared" si="8"/>
        <v>1800.2</v>
      </c>
      <c r="P15" s="37">
        <f>SUM(P11:P14)</f>
        <v>-68.302197802197853</v>
      </c>
      <c r="Q15" s="37">
        <f t="shared" ref="Q15:S15" si="9">SUM(Q11:Q14)</f>
        <v>-92.69780219780219</v>
      </c>
      <c r="R15" s="33">
        <f t="shared" si="9"/>
        <v>-161.00000000000003</v>
      </c>
      <c r="S15" s="33">
        <f t="shared" si="9"/>
        <v>-35.200000000000017</v>
      </c>
      <c r="T15" s="33">
        <f>SUM(T11:T14)</f>
        <v>-196.20000000000005</v>
      </c>
    </row>
    <row r="16" spans="2:20" x14ac:dyDescent="0.3">
      <c r="F16" s="10"/>
      <c r="G16" s="10"/>
      <c r="H16" s="10"/>
      <c r="I16" s="10"/>
      <c r="K16" s="10"/>
      <c r="L16" s="10"/>
      <c r="M16" s="10"/>
      <c r="N16" s="10"/>
      <c r="P16" s="86"/>
      <c r="Q16" s="86"/>
      <c r="R16" s="86"/>
      <c r="S16" s="86"/>
      <c r="T16" s="86"/>
    </row>
    <row r="17" spans="2:21" ht="32.4" customHeight="1" x14ac:dyDescent="0.3">
      <c r="B17" s="11" t="s">
        <v>45</v>
      </c>
      <c r="P17" s="87" t="s">
        <v>46</v>
      </c>
      <c r="Q17" s="87"/>
      <c r="R17" s="87"/>
      <c r="S17" s="62" t="s">
        <v>47</v>
      </c>
      <c r="T17" s="38">
        <f>I15-N15</f>
        <v>-196.20000000000005</v>
      </c>
      <c r="U17" s="40" t="str">
        <f>IF(T15=T17,"True","False")</f>
        <v>True</v>
      </c>
    </row>
    <row r="18" spans="2:21" ht="78" customHeight="1" x14ac:dyDescent="0.3">
      <c r="B18" s="82" t="s">
        <v>48</v>
      </c>
      <c r="C18" s="82"/>
      <c r="D18" s="82"/>
      <c r="E18" s="82"/>
      <c r="F18" s="82"/>
      <c r="G18" s="82"/>
      <c r="H18" s="82"/>
      <c r="I18" s="82"/>
      <c r="J18" s="82"/>
      <c r="K18" s="82"/>
      <c r="L18" s="82"/>
      <c r="M18" s="82"/>
    </row>
    <row r="19" spans="2:21" ht="18.600000000000001" customHeight="1" x14ac:dyDescent="0.3">
      <c r="C19" s="34"/>
      <c r="D19" s="34"/>
      <c r="E19" s="34"/>
      <c r="F19" s="34"/>
      <c r="G19" s="34"/>
      <c r="H19" s="34"/>
      <c r="I19" s="34"/>
      <c r="J19" s="34"/>
      <c r="K19" s="34"/>
      <c r="L19" s="34"/>
      <c r="M19" s="34"/>
      <c r="P19" s="85" t="s">
        <v>49</v>
      </c>
      <c r="Q19" s="85"/>
      <c r="R19" s="85"/>
      <c r="S19" s="85"/>
      <c r="T19" s="85"/>
    </row>
    <row r="20" spans="2:21" ht="4.2" customHeight="1" x14ac:dyDescent="0.3">
      <c r="C20" s="51"/>
      <c r="D20" s="51"/>
      <c r="E20" s="51"/>
      <c r="F20" s="51"/>
      <c r="G20" s="51"/>
      <c r="H20" s="51"/>
      <c r="I20" s="51"/>
      <c r="J20" s="51"/>
      <c r="K20" s="51"/>
      <c r="L20" s="51"/>
      <c r="M20" s="51"/>
    </row>
    <row r="21" spans="2:21" ht="31.2" customHeight="1" thickBot="1" x14ac:dyDescent="0.35">
      <c r="B21" s="83" t="s">
        <v>50</v>
      </c>
      <c r="C21" s="84"/>
      <c r="D21" s="84"/>
      <c r="E21" s="84"/>
      <c r="F21" s="84"/>
      <c r="G21" s="84"/>
      <c r="H21" s="84"/>
      <c r="I21" s="84"/>
      <c r="J21" s="84"/>
      <c r="K21" s="84"/>
      <c r="L21" s="84"/>
      <c r="M21" s="84"/>
      <c r="P21" s="72" t="s">
        <v>51</v>
      </c>
      <c r="Q21" s="73" t="s">
        <v>52</v>
      </c>
      <c r="R21" s="73" t="s">
        <v>53</v>
      </c>
      <c r="S21" s="72" t="s">
        <v>54</v>
      </c>
      <c r="T21" s="73" t="s">
        <v>55</v>
      </c>
    </row>
    <row r="22" spans="2:21" ht="70.2" customHeight="1" thickTop="1" x14ac:dyDescent="0.3">
      <c r="J22" s="80"/>
      <c r="K22" s="80"/>
      <c r="L22" s="80"/>
      <c r="M22" s="80"/>
      <c r="N22" s="80"/>
      <c r="P22" s="47" t="s">
        <v>56</v>
      </c>
      <c r="Q22" s="39" t="s">
        <v>57</v>
      </c>
      <c r="R22" s="36">
        <f>P15</f>
        <v>-68.302197802197853</v>
      </c>
      <c r="S22" s="35" t="str">
        <f>IF(R22&gt;0,"Favorable", "Adverse")</f>
        <v>Adverse</v>
      </c>
      <c r="T22" s="35" t="s">
        <v>58</v>
      </c>
    </row>
    <row r="23" spans="2:21" ht="72" customHeight="1" x14ac:dyDescent="0.3">
      <c r="B23" s="80"/>
      <c r="C23" s="80"/>
      <c r="D23" s="80"/>
      <c r="E23" s="80"/>
      <c r="F23" s="53" t="str">
        <f>F8</f>
        <v>STANDARD PLAN</v>
      </c>
      <c r="G23" s="53" t="str">
        <f>P10</f>
        <v>ΔYield</v>
      </c>
      <c r="H23" s="53" t="str">
        <f>Q10</f>
        <v>ΔMix</v>
      </c>
      <c r="I23" s="53" t="str">
        <f>S10</f>
        <v>ΔPrice</v>
      </c>
      <c r="J23" s="53" t="str">
        <f>K8</f>
        <v>ACTUAL</v>
      </c>
      <c r="M23" s="80"/>
      <c r="N23" s="80"/>
      <c r="P23" s="47" t="s">
        <v>59</v>
      </c>
      <c r="Q23" s="39" t="s">
        <v>60</v>
      </c>
      <c r="R23" s="36">
        <f>Q15</f>
        <v>-92.69780219780219</v>
      </c>
      <c r="S23" s="35" t="str">
        <f t="shared" ref="S23:S24" si="10">IF(R23&gt;0,"Favorable", "Adverse")</f>
        <v>Adverse</v>
      </c>
      <c r="T23" s="35" t="s">
        <v>61</v>
      </c>
    </row>
    <row r="24" spans="2:21" ht="43.2" x14ac:dyDescent="0.3">
      <c r="F24" s="54">
        <f>I15</f>
        <v>1604</v>
      </c>
      <c r="G24" s="54">
        <f>-P15</f>
        <v>68.302197802197853</v>
      </c>
      <c r="H24" s="54">
        <f>-Q15</f>
        <v>92.69780219780219</v>
      </c>
      <c r="I24" s="54">
        <f>-S15</f>
        <v>35.200000000000017</v>
      </c>
      <c r="J24" s="54">
        <f>N15</f>
        <v>1800.2</v>
      </c>
      <c r="P24" s="74" t="s">
        <v>62</v>
      </c>
      <c r="Q24" s="75" t="s">
        <v>63</v>
      </c>
      <c r="R24" s="76">
        <f>S15</f>
        <v>-35.200000000000017</v>
      </c>
      <c r="S24" s="77" t="str">
        <f t="shared" si="10"/>
        <v>Adverse</v>
      </c>
      <c r="T24" s="77" t="s">
        <v>64</v>
      </c>
    </row>
    <row r="25" spans="2:21" ht="19.5" customHeight="1" x14ac:dyDescent="0.3">
      <c r="B25" s="88"/>
      <c r="C25" s="88"/>
      <c r="D25" s="88"/>
      <c r="E25" s="88"/>
      <c r="F25" s="88"/>
      <c r="G25" s="88"/>
      <c r="H25" s="88"/>
      <c r="I25" s="88"/>
      <c r="J25" s="88"/>
      <c r="K25" s="88"/>
      <c r="L25" s="88"/>
      <c r="M25" s="88"/>
      <c r="N25" s="88"/>
    </row>
    <row r="26" spans="2:21" ht="19.5" customHeight="1" x14ac:dyDescent="0.3">
      <c r="B26" s="88"/>
      <c r="C26" s="88"/>
      <c r="D26" s="88"/>
      <c r="E26" s="88"/>
      <c r="F26" s="88"/>
      <c r="G26" s="88"/>
      <c r="H26" s="88"/>
      <c r="I26" s="88"/>
      <c r="J26" s="88"/>
      <c r="K26" s="88"/>
      <c r="L26" s="88"/>
      <c r="M26" s="88"/>
      <c r="N26" s="88"/>
      <c r="P26" s="81" t="s">
        <v>65</v>
      </c>
      <c r="Q26" s="81"/>
      <c r="R26" s="81"/>
    </row>
    <row r="27" spans="2:21" ht="15" thickBot="1" x14ac:dyDescent="0.35">
      <c r="P27" s="55" t="s">
        <v>66</v>
      </c>
      <c r="Q27" s="56" t="s">
        <v>53</v>
      </c>
      <c r="R27" s="57" t="s">
        <v>67</v>
      </c>
    </row>
    <row r="28" spans="2:21" ht="19.5" customHeight="1" thickTop="1" x14ac:dyDescent="0.3">
      <c r="B28" s="80"/>
      <c r="C28" s="80"/>
      <c r="D28" s="80"/>
      <c r="E28" s="80"/>
      <c r="F28" s="80"/>
      <c r="G28" s="80"/>
      <c r="H28" s="80"/>
      <c r="I28" s="80"/>
      <c r="J28" s="80"/>
      <c r="K28" s="80"/>
      <c r="L28" s="80"/>
      <c r="M28" s="80"/>
      <c r="N28" s="80"/>
      <c r="P28" t="str">
        <f>P10</f>
        <v>ΔYield</v>
      </c>
      <c r="Q28" s="41">
        <f>-P15</f>
        <v>68.302197802197853</v>
      </c>
      <c r="R28" s="43">
        <f>Q28/$Q$32</f>
        <v>0.34812537106115105</v>
      </c>
    </row>
    <row r="29" spans="2:21" ht="19.5" customHeight="1" x14ac:dyDescent="0.3">
      <c r="C29" s="80"/>
      <c r="D29" s="80"/>
      <c r="E29" s="80"/>
      <c r="F29" s="80"/>
      <c r="G29" s="80"/>
      <c r="H29" s="80"/>
      <c r="I29" s="80"/>
      <c r="J29" s="80"/>
      <c r="K29" s="80"/>
      <c r="L29" s="80"/>
      <c r="M29" s="80"/>
      <c r="N29" s="80"/>
      <c r="P29" t="str">
        <f>Q10</f>
        <v>ΔMix</v>
      </c>
      <c r="Q29" s="42">
        <f>-Q15</f>
        <v>92.69780219780219</v>
      </c>
      <c r="R29" s="43">
        <f>Q29/$Q$32</f>
        <v>0.47246586237411908</v>
      </c>
    </row>
    <row r="30" spans="2:21" x14ac:dyDescent="0.3">
      <c r="P30" s="48" t="str">
        <f>R10</f>
        <v>ΔUsage</v>
      </c>
      <c r="Q30" s="48">
        <f>-R15</f>
        <v>161.00000000000003</v>
      </c>
      <c r="R30" s="49">
        <f>SUM(R28:R29)</f>
        <v>0.82059123343527007</v>
      </c>
    </row>
    <row r="31" spans="2:21" ht="19.5" customHeight="1" x14ac:dyDescent="0.3">
      <c r="B31" s="80"/>
      <c r="C31" s="80"/>
      <c r="D31" s="80"/>
      <c r="E31" s="80"/>
      <c r="F31" s="80"/>
      <c r="G31" s="80"/>
      <c r="H31" s="80"/>
      <c r="I31" s="80"/>
      <c r="J31" s="80"/>
      <c r="K31" s="80"/>
      <c r="L31" s="80"/>
      <c r="M31" s="80"/>
      <c r="N31" s="80"/>
      <c r="P31" t="str">
        <f>S10</f>
        <v>ΔPrice</v>
      </c>
      <c r="Q31">
        <f>-S15</f>
        <v>35.200000000000017</v>
      </c>
      <c r="R31" s="43">
        <f>Q31/$Q$32</f>
        <v>0.1794087665647299</v>
      </c>
    </row>
    <row r="32" spans="2:21" ht="19.5" customHeight="1" x14ac:dyDescent="0.3">
      <c r="B32" s="80"/>
      <c r="C32" s="80"/>
      <c r="D32" s="80"/>
      <c r="E32" s="80"/>
      <c r="F32" s="80"/>
      <c r="G32" s="80"/>
      <c r="H32" s="80"/>
      <c r="I32" s="80"/>
      <c r="J32" s="80"/>
      <c r="K32" s="80"/>
      <c r="L32" s="80"/>
      <c r="M32" s="80"/>
      <c r="N32" s="80"/>
      <c r="P32" s="48" t="str">
        <f>T10</f>
        <v>ΔTotal</v>
      </c>
      <c r="Q32" s="48">
        <f>-T15</f>
        <v>196.20000000000005</v>
      </c>
      <c r="R32" s="52">
        <f>Q32/$Q$32</f>
        <v>1</v>
      </c>
    </row>
    <row r="33" spans="16:18" x14ac:dyDescent="0.3">
      <c r="P33" s="45" t="str">
        <f>'Case study'!C24</f>
        <v>Sản lượng tháng (lon)</v>
      </c>
      <c r="Q33" s="46">
        <f>'Case study'!D24</f>
        <v>5000000</v>
      </c>
    </row>
    <row r="34" spans="16:18" ht="28.8" x14ac:dyDescent="0.3">
      <c r="P34" s="58" t="s">
        <v>68</v>
      </c>
      <c r="Q34" s="59">
        <f>Q33*Q32</f>
        <v>981000000.00000024</v>
      </c>
      <c r="R34" s="50"/>
    </row>
    <row r="35" spans="16:18" x14ac:dyDescent="0.3"/>
    <row r="36" spans="16:18" x14ac:dyDescent="0.3"/>
    <row r="37" spans="16:18" x14ac:dyDescent="0.3"/>
  </sheetData>
  <mergeCells count="10">
    <mergeCell ref="P26:R26"/>
    <mergeCell ref="B18:M18"/>
    <mergeCell ref="B21:M21"/>
    <mergeCell ref="F8:I8"/>
    <mergeCell ref="K8:N8"/>
    <mergeCell ref="P8:T8"/>
    <mergeCell ref="P16:T16"/>
    <mergeCell ref="P19:T19"/>
    <mergeCell ref="P17:R17"/>
    <mergeCell ref="B25:N26"/>
  </mergeCells>
  <pageMargins left="0.75" right="0.75" top="1" bottom="1" header="0.511811023622047" footer="0.511811023622047"/>
  <pageSetup paperSize="9" orientation="portrait" horizontalDpi="300" verticalDpi="300"/>
  <ignoredErrors>
    <ignoredError sqref="F11:F14" formulaRange="1"/>
  </ignoredError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Case study</vt:lpstr>
      <vt:lpstr>VR 3F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Giang Huynh</cp:lastModifiedBy>
  <cp:revision>0</cp:revision>
  <dcterms:created xsi:type="dcterms:W3CDTF">2026-07-24T08:14:45Z</dcterms:created>
  <dcterms:modified xsi:type="dcterms:W3CDTF">2026-10-13T16:17:11Z</dcterms:modified>
  <cp:category/>
  <cp:contentStatus/>
</cp:coreProperties>
</file>