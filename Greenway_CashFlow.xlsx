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0c9ca29a393eee01/Sản phẩm/sản phẩm/Cash Flow Forecast/"/>
    </mc:Choice>
  </mc:AlternateContent>
  <xr:revisionPtr revIDLastSave="2418" documentId="11_7B1E7A31583D33C93445F843B82C1EFA0C1C20BC" xr6:coauthVersionLast="47" xr6:coauthVersionMax="47" xr10:uidLastSave="{C2CF60FA-5AF2-4CDE-BB2F-D7D09571055F}"/>
  <bookViews>
    <workbookView xWindow="-108" yWindow="-108" windowWidth="23256" windowHeight="12456" tabRatio="499" xr2:uid="{00000000-000D-0000-FFFF-FFFF00000000}"/>
  </bookViews>
  <sheets>
    <sheet name="Dashboard" sheetId="8" r:id="rId1"/>
    <sheet name="Cash Flow Forecast" sheetId="5" r:id="rId2"/>
    <sheet name="Task" sheetId="1" r:id="rId3"/>
    <sheet name="Answer" sheetId="13" r:id="rId4"/>
    <sheet name="Raw Data -&gt;" sheetId="16" r:id="rId5"/>
    <sheet name="Cash Position" sheetId="2" r:id="rId6"/>
    <sheet name="AR Collections" sheetId="3" r:id="rId7"/>
    <sheet name="Committed Expenses" sheetId="4" r:id="rId8"/>
    <sheet name="Projection -&gt;" sheetId="14" r:id="rId9"/>
    <sheet name="Cash Outflow " sheetId="6" r:id="rId10"/>
    <sheet name="Cash Inflow" sheetId="15" r:id="rId11"/>
    <sheet name="Pivot Table" sheetId="12" r:id="rId12"/>
  </sheets>
  <definedNames>
    <definedName name="Slicer_Expense_Week">#N/A</definedName>
    <definedName name="Slicer_Week">#N/A</definedName>
  </definedNames>
  <calcPr calcId="191029"/>
  <pivotCaches>
    <pivotCache cacheId="0" r:id="rId13"/>
    <pivotCache cacheId="5"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9" i="12" l="1"/>
  <c r="B3" i="15"/>
  <c r="C3" i="15"/>
  <c r="D3" i="15"/>
  <c r="B4" i="15"/>
  <c r="C4" i="15"/>
  <c r="D4" i="15"/>
  <c r="B5" i="15"/>
  <c r="C5" i="15"/>
  <c r="D5" i="15"/>
  <c r="B6" i="15"/>
  <c r="C6" i="15"/>
  <c r="D6" i="15"/>
  <c r="B7" i="15"/>
  <c r="C7" i="15"/>
  <c r="D7" i="15"/>
  <c r="B8" i="15"/>
  <c r="C8" i="15"/>
  <c r="D8" i="15"/>
  <c r="B9" i="15"/>
  <c r="C9" i="15"/>
  <c r="D9" i="15"/>
  <c r="B10" i="15"/>
  <c r="C10" i="15"/>
  <c r="D10" i="15"/>
  <c r="B11" i="15"/>
  <c r="C11" i="15"/>
  <c r="D11" i="15"/>
  <c r="B12" i="15"/>
  <c r="C12" i="15"/>
  <c r="D12" i="15"/>
  <c r="B13" i="15"/>
  <c r="C13" i="15"/>
  <c r="D13" i="15"/>
  <c r="B14" i="15"/>
  <c r="C14" i="15"/>
  <c r="D14" i="15"/>
  <c r="B15" i="15"/>
  <c r="C15" i="15"/>
  <c r="D15" i="15"/>
  <c r="D16" i="15"/>
  <c r="E5" i="5"/>
  <c r="E6" i="5"/>
  <c r="E7" i="5"/>
  <c r="E8" i="5"/>
  <c r="E9" i="5"/>
  <c r="E10" i="5"/>
  <c r="E11" i="5"/>
  <c r="E12" i="5"/>
  <c r="E13" i="5"/>
  <c r="E14" i="5"/>
  <c r="E15" i="5"/>
  <c r="E16" i="5"/>
  <c r="F16" i="5" s="1"/>
  <c r="E4" i="5"/>
  <c r="F4" i="5" s="1"/>
  <c r="A19" i="6" a="1"/>
  <c r="B19" i="6" a="1"/>
  <c r="K19" i="12"/>
  <c r="O6" i="6"/>
  <c r="O7" i="6"/>
  <c r="O8" i="6"/>
  <c r="O9" i="6"/>
  <c r="O10" i="6"/>
  <c r="O11" i="6"/>
  <c r="O12" i="6"/>
  <c r="O13" i="6"/>
  <c r="O14" i="6"/>
  <c r="O15" i="6"/>
  <c r="O5" i="6"/>
  <c r="B16" i="6"/>
  <c r="C16" i="6"/>
  <c r="D16" i="6"/>
  <c r="E16" i="6"/>
  <c r="F16" i="6"/>
  <c r="G16" i="6"/>
  <c r="H16" i="6"/>
  <c r="I16" i="6"/>
  <c r="J16" i="6"/>
  <c r="K16" i="6"/>
  <c r="L16" i="6"/>
  <c r="M16" i="6"/>
  <c r="N16" i="6"/>
  <c r="G19" i="12"/>
  <c r="D19" i="12"/>
  <c r="C19" i="12"/>
  <c r="D4" i="5"/>
  <c r="C17" i="5"/>
  <c r="D5" i="5"/>
  <c r="F5" i="5"/>
  <c r="D6" i="5"/>
  <c r="F6" i="5"/>
  <c r="D7" i="5"/>
  <c r="F7" i="5"/>
  <c r="D8" i="5"/>
  <c r="F8" i="5"/>
  <c r="D9" i="5"/>
  <c r="F9" i="5"/>
  <c r="D10" i="5"/>
  <c r="F10" i="5"/>
  <c r="D11" i="5"/>
  <c r="F11" i="5"/>
  <c r="D12" i="5"/>
  <c r="F12" i="5"/>
  <c r="D13" i="5"/>
  <c r="F13" i="5"/>
  <c r="D14" i="5"/>
  <c r="F14" i="5"/>
  <c r="D15" i="5"/>
  <c r="F15" i="5"/>
  <c r="D16" i="5"/>
  <c r="E17" i="5"/>
  <c r="B3" i="6"/>
  <c r="C3" i="6"/>
  <c r="D3" i="6"/>
  <c r="E3" i="6"/>
  <c r="F3" i="6"/>
  <c r="G3" i="6"/>
  <c r="H3" i="6"/>
  <c r="I3" i="6"/>
  <c r="J3" i="6"/>
  <c r="K3" i="6"/>
  <c r="L3" i="6"/>
  <c r="M3" i="6"/>
  <c r="N3" i="6"/>
  <c r="A15" i="6"/>
  <c r="A14" i="6"/>
  <c r="A12" i="6"/>
  <c r="A13" i="6"/>
  <c r="A6" i="6"/>
  <c r="A7" i="6"/>
  <c r="A8" i="6"/>
  <c r="A9" i="6"/>
  <c r="A10" i="6"/>
  <c r="A11" i="6"/>
  <c r="A5" i="6"/>
  <c r="E29" i="3"/>
  <c r="D17" i="5"/>
  <c r="F17" i="5" l="1"/>
  <c r="G4" i="5"/>
  <c r="C5" i="5" s="1"/>
  <c r="G5" i="5" s="1"/>
  <c r="C6" i="5" s="1"/>
  <c r="G6" i="5" s="1"/>
  <c r="C7" i="5" s="1"/>
  <c r="G7" i="5" s="1"/>
  <c r="C8" i="5" s="1"/>
  <c r="G8" i="5" s="1"/>
  <c r="C9" i="5" s="1"/>
  <c r="G9" i="5" s="1"/>
  <c r="C10" i="5" s="1"/>
  <c r="G10" i="5" s="1"/>
  <c r="C11" i="5" s="1"/>
  <c r="G11" i="5" s="1"/>
  <c r="C12" i="5" s="1"/>
  <c r="G12" i="5" s="1"/>
  <c r="C13" i="5" s="1"/>
  <c r="G13" i="5" s="1"/>
  <c r="C14" i="5" s="1"/>
  <c r="G14" i="5" s="1"/>
  <c r="C15" i="5" s="1"/>
  <c r="G15" i="5" s="1"/>
  <c r="C16" i="5" s="1"/>
  <c r="G16" i="5" s="1"/>
  <c r="G17"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<sst xmlns="http://schemas.openxmlformats.org/spreadsheetml/2006/main" count="308" uniqueCount="175">
  <si>
    <t>Greenway Landscaping LLC  |  Cash Flow Forecast</t>
  </si>
  <si>
    <t>Greenway Landscaping LLC</t>
  </si>
  <si>
    <t>Cash Position Summary</t>
  </si>
  <si>
    <t>Bank Name</t>
  </si>
  <si>
    <t>First National Bank</t>
  </si>
  <si>
    <t>Account Name</t>
  </si>
  <si>
    <t>Operating Checking</t>
  </si>
  <si>
    <t>Account Number</t>
  </si>
  <si>
    <t>Account 1010</t>
  </si>
  <si>
    <t>As of Date</t>
  </si>
  <si>
    <t>11/30/2026</t>
  </si>
  <si>
    <t>Beginning Cash Balance</t>
  </si>
  <si>
    <t>Note: Balance confirmed per bank statement dated 11/30/2026</t>
  </si>
  <si>
    <t>Greenway Landscaping LLC — Accounts Receivable</t>
  </si>
  <si>
    <t>As of November 30, 2026</t>
  </si>
  <si>
    <t>Week</t>
  </si>
  <si>
    <t>Date Range</t>
  </si>
  <si>
    <t>AR Collections</t>
  </si>
  <si>
    <t>Dec 01 - Dec 07, 2026</t>
  </si>
  <si>
    <t>Dec 08 - Dec 14, 2026</t>
  </si>
  <si>
    <t>Dec 15 - Dec 21, 2026</t>
  </si>
  <si>
    <t>Dec 22 - Dec 28, 2026</t>
  </si>
  <si>
    <t>Dec 29 - Jan 04, 2027</t>
  </si>
  <si>
    <t>Jan 05 - Jan 11, 2027</t>
  </si>
  <si>
    <t>Jan 12 - Jan 18, 2027</t>
  </si>
  <si>
    <t>Jan 19 - Jan 25, 2027</t>
  </si>
  <si>
    <t>Jan 26 - Feb 01, 2027</t>
  </si>
  <si>
    <t>Week 10</t>
  </si>
  <si>
    <t>Feb 02 - Feb 08, 2027</t>
  </si>
  <si>
    <t>Week 11</t>
  </si>
  <si>
    <t>Feb 09 - Feb 15, 2027</t>
  </si>
  <si>
    <t>Week 12</t>
  </si>
  <si>
    <t>Feb 16 - Feb 22, 2027</t>
  </si>
  <si>
    <t>Week 13</t>
  </si>
  <si>
    <t>Feb 23 - Mar 01, 2027</t>
  </si>
  <si>
    <t>TOTAL</t>
  </si>
  <si>
    <t>Customer Name</t>
  </si>
  <si>
    <t>Invoice #</t>
  </si>
  <si>
    <t>Invoice Date</t>
  </si>
  <si>
    <t>Due Date</t>
  </si>
  <si>
    <t>Amount</t>
  </si>
  <si>
    <t>Aging Bucket</t>
  </si>
  <si>
    <t>Maplewood HOA</t>
  </si>
  <si>
    <t>INV-2026-0441</t>
  </si>
  <si>
    <t>1-30 Days</t>
  </si>
  <si>
    <t>Crestview Commercial Park</t>
  </si>
  <si>
    <t>INV-2026-0442</t>
  </si>
  <si>
    <t>12/05/2026</t>
  </si>
  <si>
    <t>Riverside Estates</t>
  </si>
  <si>
    <t>INV-2026-0443</t>
  </si>
  <si>
    <t>City of Pinecrest - Parks</t>
  </si>
  <si>
    <t>INV-2026-0444</t>
  </si>
  <si>
    <t>31-60 Days</t>
  </si>
  <si>
    <t>Sunset Ridge HOA</t>
  </si>
  <si>
    <t>INV-2026-0445</t>
  </si>
  <si>
    <t>Harborview Condominiums</t>
  </si>
  <si>
    <t>INV-2026-0446</t>
  </si>
  <si>
    <t>Grand Pines Estate</t>
  </si>
  <si>
    <t>INV-2026-0447</t>
  </si>
  <si>
    <t>Thornwood Office Complex</t>
  </si>
  <si>
    <t>INV-2026-0448</t>
  </si>
  <si>
    <t>Lakewood Business Center</t>
  </si>
  <si>
    <t>INV-2026-0449</t>
  </si>
  <si>
    <t>Willowbrook HOA</t>
  </si>
  <si>
    <t>INV-2026-0450</t>
  </si>
  <si>
    <t>12/01/2026</t>
  </si>
  <si>
    <t>Current</t>
  </si>
  <si>
    <t>INV-2026-0451</t>
  </si>
  <si>
    <t>INV-2026-0452</t>
  </si>
  <si>
    <t>12/15/2026</t>
  </si>
  <si>
    <t>INV-2026-0453</t>
  </si>
  <si>
    <t>INV-2026-0454</t>
  </si>
  <si>
    <t>12/20/2026</t>
  </si>
  <si>
    <t>INV-2026-0455</t>
  </si>
  <si>
    <t>INV-2026-0456</t>
  </si>
  <si>
    <t>INV-2026-0457</t>
  </si>
  <si>
    <t>INV-2026-0458</t>
  </si>
  <si>
    <t>INV-2026-0459</t>
  </si>
  <si>
    <t>INV-2026-0460</t>
  </si>
  <si>
    <t>INV-2026-0461</t>
  </si>
  <si>
    <t>INV-2026-0462</t>
  </si>
  <si>
    <t>INV-2026-0463</t>
  </si>
  <si>
    <t>INV-2026-0464</t>
  </si>
  <si>
    <t>Greenway Landscaping LLC — Committed Expenses Schedule</t>
  </si>
  <si>
    <t>13-Week Forecast Period: December 1, 2026 – February 28, 2027</t>
  </si>
  <si>
    <t>Expense Description</t>
  </si>
  <si>
    <t>Frequency</t>
  </si>
  <si>
    <t>Amount Per Occurrence</t>
  </si>
  <si>
    <t>Next Due Date</t>
  </si>
  <si>
    <t>Notes</t>
  </si>
  <si>
    <t>Payroll - Field &amp; Office Staff</t>
  </si>
  <si>
    <t>Weekly (Fridays)</t>
  </si>
  <si>
    <t>12/04/2026</t>
  </si>
  <si>
    <t>Lương nhân viên; trả mỗi thứ Sáu</t>
  </si>
  <si>
    <t>Office &amp; Yard Rent</t>
  </si>
  <si>
    <t>Monthly (1st)</t>
  </si>
  <si>
    <t>Thuê văn phòng + bãi xe; trả ngày 1</t>
  </si>
  <si>
    <t>Equipment Lease - Mowers &amp; Trucks</t>
  </si>
  <si>
    <t>Monthly (15th)</t>
  </si>
  <si>
    <t>Thuê máy cắt cỏ &amp; xe tải; đến Jun 2028</t>
  </si>
  <si>
    <t>Commercial General Liability Ins.</t>
  </si>
  <si>
    <t>Bảo hiểm trách nhiệm; Zenith Insurance</t>
  </si>
  <si>
    <t>Workers' Compensation Insurance</t>
  </si>
  <si>
    <t>Bảo hiểm tai nạn LĐ; theo quy định bang</t>
  </si>
  <si>
    <t>Fuel &amp; Fleet Operating Costs</t>
  </si>
  <si>
    <t>Weekly</t>
  </si>
  <si>
    <t>Nhiên liệu &amp; vận hành; biến động theo việc</t>
  </si>
  <si>
    <t>Landscaping Materials &amp; Supplies</t>
  </si>
  <si>
    <t>Bi-weekly</t>
  </si>
  <si>
    <t>Vật tư cảnh quan; đặt 2 tuần/lần</t>
  </si>
  <si>
    <t>SBA Term Loan Payment</t>
  </si>
  <si>
    <t>Monthly (20th)</t>
  </si>
  <si>
    <t>Khoản vay SBA-2023-4471; đáo hạn Dec 2030</t>
  </si>
  <si>
    <t>Utilities - Office &amp; Yard</t>
  </si>
  <si>
    <t>Monthly (10th)</t>
  </si>
  <si>
    <t>12/10/2026</t>
  </si>
  <si>
    <t>Điện, nước, internet</t>
  </si>
  <si>
    <t>Software &amp; Subscriptions</t>
  </si>
  <si>
    <t>ServiceTitan, QuickBooks, Microsoft 365</t>
  </si>
  <si>
    <t>Vehicle Registration &amp; Permits</t>
  </si>
  <si>
    <t>Annual (Jan 15)</t>
  </si>
  <si>
    <t>01/15/2027</t>
  </si>
  <si>
    <t>Phí đăng ký xe; thường niên</t>
  </si>
  <si>
    <t>Start date</t>
  </si>
  <si>
    <t>End date</t>
  </si>
  <si>
    <t>Start Date</t>
  </si>
  <si>
    <t>Expense/Week</t>
  </si>
  <si>
    <t>CASH OUT BY WEEK</t>
  </si>
  <si>
    <t>BACKGROUND</t>
  </si>
  <si>
    <t>DATA PROVIDED (see adjacent sheets)</t>
  </si>
  <si>
    <t>REQUIREMENTS</t>
  </si>
  <si>
    <t>1) Complete the 'Cash Flow Forecast' sheet. For each week, fill in 5 columns: Beginning Balance, Cash In, Cash Out, Net Cash Flow, Ending Balance.</t>
  </si>
  <si>
    <t>2) Cash In per week = pull from the 'AR Collections' sheet.</t>
  </si>
  <si>
    <t>3) Cash Out per week = you must ALLOCATE each expense to the correct week based on frequency + due date (e.g., 'Monthly (1st)' falls in the week containing the 1st; 'Weekly' appears every week; 'Bi-weekly' every other week).</t>
  </si>
  <si>
    <t>4) Core formula:   Ending Balance = Beginning Balance + Cash In − Cash Out.   And: Next week’s Beginning Balance = This week’s Ending Balance.</t>
  </si>
  <si>
    <t>Beginning</t>
  </si>
  <si>
    <t>Cash In</t>
  </si>
  <si>
    <t>Net Cash Flow</t>
  </si>
  <si>
    <t>Ending</t>
  </si>
  <si>
    <t xml:space="preserve">13-WEEK CASH FLOW FORECAST </t>
  </si>
  <si>
    <t>AR Collections by Week</t>
  </si>
  <si>
    <t>Grand Total</t>
  </si>
  <si>
    <t>Row Labels</t>
  </si>
  <si>
    <t>Sum of Net Cash Flow</t>
  </si>
  <si>
    <t>Sum of Cash In</t>
  </si>
  <si>
    <t>Cash Out</t>
  </si>
  <si>
    <t>Sum of Cash Out</t>
  </si>
  <si>
    <t>Week 01</t>
  </si>
  <si>
    <t>Week 02</t>
  </si>
  <si>
    <t>Week 03</t>
  </si>
  <si>
    <t>Week 04</t>
  </si>
  <si>
    <t>Week 05</t>
  </si>
  <si>
    <t>Week 06</t>
  </si>
  <si>
    <t>Week 07</t>
  </si>
  <si>
    <t>Week 08</t>
  </si>
  <si>
    <t>Week 09</t>
  </si>
  <si>
    <t>Total</t>
  </si>
  <si>
    <t>Sum of Total</t>
  </si>
  <si>
    <t>Cash Outflow</t>
  </si>
  <si>
    <t>Your task is to build a 13-WEEK CASH FLOW FORECAST from the 3 data sources provided in this file.</t>
  </si>
  <si>
    <t>Cash Inflow</t>
  </si>
  <si>
    <t>Beginning Balance</t>
  </si>
  <si>
    <t>Ending Balance</t>
  </si>
  <si>
    <t>• Sheet 'Cash Position' : Opening cash balance: 85,000.00 (as of 11/30/2026).</t>
  </si>
  <si>
    <t>• Sheet 'AR Collections' : Cash CUSTOMERS will pay (cash IN) by week. Already summarized by week in the top section.</t>
  </si>
  <si>
    <t>• Sheet 'Committed Expenses' : Fixed EXPENSES (cash OUT): amount per occurrence, frequency, and due date.</t>
  </si>
  <si>
    <t xml:space="preserve">ANALYSIS QUESTIONS </t>
  </si>
  <si>
    <t>b) Is there any week with negative cash (cash shortfall)? If so, how much does the company need to borrow/prepare? No. The lowest balance is still positive at 9,500. The company does NOT need to borrow during this period. That said, the cushion is razor-thin, so it would be wise to keep a revolving credit line on standby in case customers pay late.</t>
  </si>
  <si>
    <t>Key takeaway: Profit ≠ Cash. The timing mismatch between collections and disbursements has a massive impact on a company's real cash position.</t>
  </si>
  <si>
    <t>a) Which week has the LOWEST cash balance? How much? Cash declines steadily from Week 1 (76,140) down to Week 7 because collections in the early weeks are thin - receivables typically take 1 to 2 months to come in, while payroll and fuel go out every single week.</t>
  </si>
  <si>
    <t>c) Over the 13 weeks, what are the total Cash In and total Cash Out? Is the company accumulating or burning cash? Burning cash. Total inflows of 210,760 fall short of total outflows of 276,940, resulting in a net cash burn of -66,180 over 13 weeks. The balance drops from 85,000 to 18,820. Payroll alone accounts for 156,000 - more than half of all expenses.</t>
  </si>
  <si>
    <t>d) What 1-2 actions would you recommend to the CFO? This is fundamentally a working capital gap problem - the AR cycle runs longer than the AP/expense cycle. → Offer early-payment discounts to speed up collections, stay on top of follow-ups, and monitor customers' financial health so issues are caught early. Since this is a project-based business, labor costs (including ESOP) are the single largest line item - if the cash balance turns negative down the road, consider trimming bonuses.</t>
  </si>
  <si>
    <t>MINI PROJECT: 13-WEEK CASH FLOW ANALYSIS</t>
  </si>
  <si>
    <t>Greenway Landscaping LLC is a landscaping services company. The CFO needs to know: over the next 13 weeks (12/01/2026 - 02/28/2027), will the company have enough cash, and which week is the most critical?</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</si>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</sst>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quot;$&quot;#,##0.00"/>
    <numFmt numFmtId="166" formatCode="&quot;$&quot;#,##0"/>
    <numFmt numFmtId="167" formatCode="_(&quot;$&quot;* #,##0_);_(&quot;$&quot;* \(#,##0\);_(&quot;$&quot;* &quot;-&quot;??_);_(@_)"/>
  </numFmts>
  <fonts count="22" x14ac:knownFonts="1">
    <font>
      <sz val="11"/>
      <color theme="1"/>
      <name val="Calibri"/>
      <family val="2"/>
      <charset val="1"/>
    </font>
    <font>
      <sz val="10"/>
      <name val="Arial"/>
      <family val="2"/>
    </font>
    <font>
      <b/>
      <sz val="14"/>
      <color rgb="FFFFFFFF"/>
      <name val="Arial"/>
      <family val="2"/>
    </font>
    <font>
      <sz val="10"/>
      <color rgb="FFFFFFFF"/>
      <name val="Arial"/>
      <family val="2"/>
    </font>
    <font>
      <b/>
      <sz val="12"/>
      <color rgb="FF1F3864"/>
      <name val="Arial"/>
      <family val="2"/>
    </font>
    <font>
      <sz val="11"/>
      <color rgb="FF000000"/>
      <name val="Arial"/>
      <family val="2"/>
    </font>
    <font>
      <b/>
      <sz val="11"/>
      <color rgb="FF000000"/>
      <name val="Arial"/>
      <family val="2"/>
    </font>
    <font>
      <b/>
      <sz val="11"/>
      <color rgb="FF0000FF"/>
      <name val="Arial"/>
      <family val="2"/>
    </font>
    <font>
      <sz val="9"/>
      <color rgb="FF000000"/>
      <name val="Arial"/>
      <family val="2"/>
    </font>
    <font>
      <b/>
      <sz val="11"/>
      <color rgb="FFFFFFFF"/>
      <name val="Arial"/>
      <family val="2"/>
    </font>
    <font>
      <b/>
      <sz val="14"/>
      <color rgb="FFFFFFFF"/>
      <name val="Arial"/>
      <family val="2"/>
    </font>
    <font>
      <sz val="10"/>
      <color rgb="FF0000FF"/>
      <name val="Arial"/>
      <family val="2"/>
    </font>
    <font>
      <b/>
      <sz val="11"/>
      <color rgb="FF000000"/>
      <name val="Arial"/>
      <family val="2"/>
    </font>
    <font>
      <b/>
      <sz val="11"/>
      <color rgb="FFFFFFFF"/>
      <name val="Arial"/>
      <family val="2"/>
    </font>
    <font>
      <b/>
      <sz val="11"/>
      <color theme="3"/>
      <name val="Calibri"/>
      <family val="2"/>
    </font>
    <font>
      <sz val="11"/>
      <color theme="1"/>
      <name val="Calibri"/>
      <family val="2"/>
      <charset val="1"/>
    </font>
    <font>
      <sz val="8"/>
      <name val="Calibri"/>
      <family val="2"/>
      <charset val="1"/>
    </font>
    <font>
      <sz val="11"/>
      <color theme="1"/>
      <name val="Times New Roman"/>
      <family val="1"/>
    </font>
    <font>
      <sz val="11"/>
      <color theme="1"/>
      <name val="Arial"/>
      <family val="2"/>
    </font>
    <font>
      <b/>
      <sz val="11"/>
      <color theme="1"/>
      <name val="Arial"/>
      <family val="2"/>
    </font>
    <font>
      <b/>
      <sz val="11"/>
      <color theme="3" tint="-0.499984740745262"/>
      <name val="Arial"/>
      <family val="2"/>
    </font>
    <font>
      <b/>
      <sz val="12"/>
      <color theme="1"/>
      <name val="Arial"/>
      <family val="2"/>
    </font>
  </fonts>
  <fills count="9">
    <fill>
      <patternFill patternType="none"/>
    </fill>
    <fill>
      <patternFill patternType="gray125"/>
    </fill>
    <fill>
      <patternFill patternType="solid">
        <fgColor rgb="FF1F3864"/>
        <bgColor rgb="FF333333"/>
      </patternFill>
    </fill>
    <fill>
      <patternFill patternType="solid">
        <fgColor rgb="FF2F5496"/>
        <bgColor rgb="FF1F3864"/>
      </patternFill>
    </fill>
    <fill>
      <patternFill patternType="solid">
        <fgColor theme="4" tint="0.79998168889431442"/>
        <bgColor theme="4" tint="0.79998168889431442"/>
      </patternFill>
    </fill>
    <fill>
      <patternFill patternType="solid">
        <fgColor theme="4"/>
        <bgColor indexed="64"/>
      </patternFill>
    </fill>
    <fill>
      <patternFill patternType="solid">
        <fgColor theme="0"/>
        <bgColor indexed="64"/>
      </patternFill>
    </fill>
    <fill>
      <patternFill patternType="solid">
        <fgColor rgb="FFFFFF00"/>
        <bgColor rgb="FFFFFFFF"/>
      </patternFill>
    </fill>
    <fill>
      <patternFill patternType="solid">
        <fgColor theme="0"/>
        <bgColor rgb="FFBFBFBF"/>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theme="4" tint="0.39997558519241921"/>
      </bottom>
      <diagonal/>
    </border>
    <border>
      <left style="thin">
        <color rgb="FFBFBFBF"/>
      </left>
      <right style="thin">
        <color rgb="FFBFBFBF"/>
      </right>
      <top/>
      <bottom/>
      <diagonal/>
    </border>
  </borders>
  <cellStyleXfs count="3">
    <xf numFmtId="0" fontId="0" fillId="0" borderId="0"/>
    <xf numFmtId="43" fontId="1" fillId="0" borderId="0" applyBorder="0" applyAlignment="0" applyProtection="0"/>
    <xf numFmtId="44" fontId="15" fillId="0" borderId="0" applyFont="0" applyFill="0" applyBorder="0" applyAlignment="0" applyProtection="0"/>
  </cellStyleXfs>
  <cellXfs count="58">
    <xf numFmtId="0" fontId="0" fillId="0" borderId="0" xfId="0"/>
    <xf numFmtId="0" fontId="5" fillId="0" borderId="0" xfId="0" applyFont="1" applyAlignment="1">
      <alignment vertical="top" wrapText="1"/>
    </xf>
    <xf numFmtId="0" fontId="8" fillId="0" borderId="0" xfId="0" applyFont="1"/>
    <xf numFmtId="0" fontId="9" fillId="3" borderId="1" xfId="0" applyFont="1" applyFill="1" applyBorder="1" applyAlignment="1">
      <alignment horizontal="center" vertical="center" wrapText="1"/>
    </xf>
    <xf numFmtId="14" fontId="14" fillId="0" borderId="0" xfId="0" applyNumberFormat="1" applyFont="1" applyAlignment="1">
      <alignment horizontal="center"/>
    </xf>
    <xf numFmtId="0" fontId="14" fillId="0" borderId="0" xfId="0" applyFont="1" applyAlignment="1">
      <alignment horizontal="center"/>
    </xf>
    <xf numFmtId="0" fontId="9" fillId="3" borderId="4" xfId="0" applyFont="1" applyFill="1" applyBorder="1" applyAlignment="1">
      <alignment horizontal="center" vertical="center" wrapText="1"/>
    </xf>
    <xf numFmtId="0" fontId="17" fillId="5" borderId="0" xfId="0" applyFont="1" applyFill="1"/>
    <xf numFmtId="0" fontId="0" fillId="0" borderId="0" xfId="0" applyAlignment="1">
      <alignment vertical="top"/>
    </xf>
    <xf numFmtId="0" fontId="9" fillId="3" borderId="0" xfId="0" applyFont="1" applyFill="1" applyAlignment="1">
      <alignment horizontal="center" vertical="center" wrapText="1"/>
    </xf>
    <xf numFmtId="0" fontId="13" fillId="3" borderId="0" xfId="0" applyFont="1" applyFill="1" applyAlignment="1">
      <alignment horizontal="center" vertical="center" wrapText="1"/>
    </xf>
    <xf numFmtId="0" fontId="6" fillId="6" borderId="0" xfId="0" applyFont="1" applyFill="1"/>
    <xf numFmtId="0" fontId="0" fillId="6" borderId="0" xfId="0" applyFill="1"/>
    <xf numFmtId="4" fontId="7" fillId="7" borderId="0" xfId="0" applyNumberFormat="1" applyFont="1" applyFill="1"/>
    <xf numFmtId="3" fontId="11" fillId="6" borderId="0" xfId="0" applyNumberFormat="1" applyFont="1" applyFill="1"/>
    <xf numFmtId="3" fontId="0" fillId="6" borderId="0" xfId="0" applyNumberFormat="1" applyFill="1"/>
    <xf numFmtId="4" fontId="0" fillId="6" borderId="0" xfId="0" applyNumberFormat="1" applyFill="1"/>
    <xf numFmtId="0" fontId="6" fillId="0" borderId="0" xfId="0" applyFont="1"/>
    <xf numFmtId="0" fontId="18" fillId="0" borderId="0" xfId="0" applyFont="1" applyAlignment="1">
      <alignment horizontal="right"/>
    </xf>
    <xf numFmtId="3" fontId="11" fillId="0" borderId="0" xfId="0" applyNumberFormat="1" applyFont="1"/>
    <xf numFmtId="3" fontId="11" fillId="0" borderId="0" xfId="0" applyNumberFormat="1" applyFont="1" applyAlignment="1">
      <alignment horizontal="center"/>
    </xf>
    <xf numFmtId="0" fontId="0" fillId="0" borderId="0" xfId="0" applyAlignment="1">
      <alignment horizontal="center"/>
    </xf>
    <xf numFmtId="0" fontId="6" fillId="0" borderId="0" xfId="0" applyFont="1" applyAlignment="1">
      <alignment horizontal="center"/>
    </xf>
    <xf numFmtId="14" fontId="0" fillId="0" borderId="0" xfId="0" applyNumberFormat="1"/>
    <xf numFmtId="0" fontId="4" fillId="0" borderId="0" xfId="0" applyFont="1" applyAlignment="1">
      <alignment horizontal="center"/>
    </xf>
    <xf numFmtId="0" fontId="18" fillId="0" borderId="0" xfId="0" applyFont="1"/>
    <xf numFmtId="166" fontId="18" fillId="0" borderId="0" xfId="0" applyNumberFormat="1" applyFont="1"/>
    <xf numFmtId="3" fontId="18" fillId="0" borderId="0" xfId="0" applyNumberFormat="1" applyFont="1"/>
    <xf numFmtId="0" fontId="19" fillId="4" borderId="3" xfId="0" applyFont="1" applyFill="1" applyBorder="1"/>
    <xf numFmtId="9" fontId="18" fillId="0" borderId="0" xfId="0" applyNumberFormat="1" applyFont="1"/>
    <xf numFmtId="165" fontId="18" fillId="0" borderId="0" xfId="0" applyNumberFormat="1" applyFont="1"/>
    <xf numFmtId="0" fontId="2" fillId="2" borderId="0" xfId="0" applyFont="1" applyFill="1" applyAlignment="1">
      <alignment vertical="center"/>
    </xf>
    <xf numFmtId="14" fontId="20" fillId="0" borderId="0" xfId="0" applyNumberFormat="1" applyFont="1" applyAlignment="1">
      <alignment horizontal="center" vertical="center"/>
    </xf>
    <xf numFmtId="3" fontId="18" fillId="0" borderId="0" xfId="0" applyNumberFormat="1" applyFont="1" applyAlignment="1">
      <alignment horizontal="center"/>
    </xf>
    <xf numFmtId="0" fontId="18" fillId="0" borderId="0" xfId="0" applyFont="1" applyAlignment="1">
      <alignment horizontal="center"/>
    </xf>
    <xf numFmtId="164" fontId="1" fillId="0" borderId="0" xfId="1" applyNumberFormat="1" applyBorder="1" applyAlignment="1">
      <alignment horizontal="left"/>
    </xf>
    <xf numFmtId="14" fontId="18" fillId="0" borderId="0" xfId="0" applyNumberFormat="1" applyFont="1"/>
    <xf numFmtId="0" fontId="18" fillId="0" borderId="0" xfId="0" pivotButton="1" applyFont="1"/>
    <xf numFmtId="166" fontId="19" fillId="0" borderId="0" xfId="0" applyNumberFormat="1" applyFont="1"/>
    <xf numFmtId="0" fontId="21" fillId="0" borderId="0" xfId="0" applyFont="1" applyAlignment="1">
      <alignment vertical="top" wrapText="1"/>
    </xf>
    <xf numFmtId="166" fontId="12" fillId="8" borderId="0" xfId="2" applyNumberFormat="1" applyFont="1" applyFill="1" applyBorder="1"/>
    <xf numFmtId="0" fontId="6" fillId="8" borderId="0" xfId="0" applyFont="1" applyFill="1"/>
    <xf numFmtId="166" fontId="19" fillId="8" borderId="0" xfId="2" applyNumberFormat="1" applyFont="1" applyFill="1" applyBorder="1" applyAlignment="1">
      <alignment horizontal="center"/>
    </xf>
    <xf numFmtId="0" fontId="18" fillId="6" borderId="0" xfId="0" applyFont="1" applyFill="1"/>
    <xf numFmtId="166" fontId="6" fillId="8" borderId="0" xfId="2" applyNumberFormat="1" applyFont="1" applyFill="1" applyBorder="1"/>
    <xf numFmtId="0" fontId="0" fillId="8" borderId="0" xfId="0" applyFill="1"/>
    <xf numFmtId="4" fontId="6" fillId="8" borderId="0" xfId="0" applyNumberFormat="1" applyFont="1" applyFill="1"/>
    <xf numFmtId="167" fontId="6" fillId="0" borderId="0" xfId="2" applyNumberFormat="1" applyFont="1" applyFill="1" applyBorder="1"/>
    <xf numFmtId="166" fontId="6" fillId="0" borderId="0" xfId="2" applyNumberFormat="1" applyFont="1" applyFill="1" applyBorder="1"/>
    <xf numFmtId="0" fontId="18" fillId="0" borderId="0" xfId="0" applyFont="1" applyAlignment="1">
      <alignment horizontal="left"/>
    </xf>
    <xf numFmtId="4" fontId="18" fillId="0" borderId="0" xfId="0" applyNumberFormat="1" applyFont="1"/>
    <xf numFmtId="0" fontId="21" fillId="0" borderId="0" xfId="0" applyFont="1"/>
    <xf numFmtId="0" fontId="18" fillId="0" borderId="0" xfId="0" applyFont="1" applyAlignment="1">
      <alignment vertical="top" wrapText="1"/>
    </xf>
    <xf numFmtId="0" fontId="21" fillId="6" borderId="0" xfId="0" applyFont="1" applyFill="1" applyAlignment="1">
      <alignment vertical="top"/>
    </xf>
    <xf numFmtId="0" fontId="10"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3" fillId="2" borderId="2" xfId="0" applyFont="1" applyFill="1" applyBorder="1" applyAlignment="1">
      <alignment horizontal="center" vertical="center"/>
    </xf>
  </cellXfs>
  <cellStyles count="3">
    <cellStyle name="Comma" xfId="1" builtinId="3"/>
    <cellStyle name="Currency" xfId="2" builtinId="4"/>
    <cellStyle name="Normal" xfId="0" builtinId="0"/>
  </cellStyles>
  <dxfs count="39">
    <dxf>
      <font>
        <name val="Arial"/>
      </font>
    </dxf>
    <dxf>
      <font>
        <name val="Arial"/>
      </font>
    </dxf>
    <dxf>
      <font>
        <name val="Arial"/>
      </font>
    </dxf>
    <dxf>
      <font>
        <name val="Arial"/>
      </font>
    </dxf>
    <dxf>
      <font>
        <name val="Arial"/>
      </font>
    </dxf>
    <dxf>
      <font>
        <name val="Arial"/>
      </font>
    </dxf>
    <dxf>
      <numFmt numFmtId="166" formatCode="&quot;$&quot;#,##0"/>
    </dxf>
    <dxf>
      <numFmt numFmtId="166" formatCode="&quot;$&quot;#,##0"/>
    </dxf>
    <dxf>
      <font>
        <name val="Arial"/>
      </font>
    </dxf>
    <dxf>
      <font>
        <name val="Arial"/>
      </font>
    </dxf>
    <dxf>
      <font>
        <name val="Arial"/>
      </font>
    </dxf>
    <dxf>
      <font>
        <b/>
      </font>
    </dxf>
    <dxf>
      <numFmt numFmtId="166" formatCode="&quot;$&quot;#,##0"/>
    </dxf>
    <dxf>
      <font>
        <name val="Arial"/>
      </font>
    </dxf>
    <dxf>
      <font>
        <name val="Arial"/>
      </font>
    </dxf>
    <dxf>
      <font>
        <name val="Arial"/>
      </font>
    </dxf>
    <dxf>
      <font>
        <name val="Arial"/>
      </font>
    </dxf>
    <dxf>
      <font>
        <name val="Arial"/>
      </font>
    </dxf>
    <dxf>
      <font>
        <name val="Arial"/>
      </font>
    </dxf>
    <dxf>
      <numFmt numFmtId="166" formatCode="&quot;$&quot;#,##0"/>
    </dxf>
    <dxf>
      <font>
        <name val="Arial"/>
      </font>
    </dxf>
    <dxf>
      <font>
        <name val="Arial"/>
      </font>
    </dxf>
    <dxf>
      <font>
        <name val="Arial"/>
      </font>
    </dxf>
    <dxf>
      <font>
        <name val="Arial"/>
      </font>
    </dxf>
    <dxf>
      <font>
        <name val="Arial"/>
      </font>
    </dxf>
    <dxf>
      <font>
        <name val="Arial"/>
      </font>
    </dxf>
    <dxf>
      <numFmt numFmtId="166" formatCode="&quot;$&quot;#,##0"/>
    </dxf>
    <dxf>
      <numFmt numFmtId="3" formatCode="#,##0"/>
      <fill>
        <patternFill>
          <bgColor theme="0"/>
        </patternFill>
      </fill>
    </dxf>
    <dxf>
      <numFmt numFmtId="3" formatCode="#,##0"/>
      <fill>
        <patternFill>
          <bgColor theme="0"/>
        </patternFill>
      </fill>
    </dxf>
    <dxf>
      <font>
        <sz val="10"/>
        <color rgb="FF0000FF"/>
        <name val="Arial"/>
        <family val="2"/>
      </font>
      <numFmt numFmtId="3" formatCode="#,##0"/>
      <fill>
        <patternFill patternType="solid">
          <fgColor indexed="64"/>
          <bgColor theme="0"/>
        </patternFill>
      </fill>
    </dxf>
    <dxf>
      <font>
        <b val="0"/>
        <i val="0"/>
        <strike val="0"/>
        <condense val="0"/>
        <extend val="0"/>
        <outline val="0"/>
        <shadow val="0"/>
        <u val="none"/>
        <vertAlign val="baseline"/>
        <sz val="10"/>
        <color rgb="FF0000FF"/>
        <name val="Arial"/>
        <family val="2"/>
        <scheme val="none"/>
      </font>
      <numFmt numFmtId="3" formatCode="#,##0"/>
      <fill>
        <patternFill>
          <bgColor theme="0"/>
        </patternFill>
      </fill>
    </dxf>
    <dxf>
      <numFmt numFmtId="4" formatCode="#,##0.00"/>
      <fill>
        <patternFill>
          <bgColor theme="0"/>
        </patternFill>
      </fill>
    </dxf>
    <dxf>
      <fill>
        <patternFill>
          <bgColor theme="0"/>
        </patternFill>
      </fill>
    </dxf>
    <dxf>
      <font>
        <b/>
        <i val="0"/>
        <strike val="0"/>
        <condense val="0"/>
        <extend val="0"/>
        <outline val="0"/>
        <shadow val="0"/>
        <u val="none"/>
        <vertAlign val="baseline"/>
        <sz val="11"/>
        <color rgb="FF000000"/>
        <name val="Arial"/>
        <family val="2"/>
        <scheme val="none"/>
      </font>
      <fill>
        <patternFill>
          <bgColor theme="0"/>
        </patternFill>
      </fill>
    </dxf>
    <dxf>
      <border outline="0">
        <top style="thin">
          <color rgb="FFBFBFBF"/>
        </top>
      </border>
    </dxf>
    <dxf>
      <border outline="0">
        <left style="thin">
          <color rgb="FFBFBFBF"/>
        </left>
        <right style="thin">
          <color rgb="FFBFBFBF"/>
        </right>
        <top style="thin">
          <color rgb="FFBFBFBF"/>
        </top>
        <bottom style="thin">
          <color rgb="FFBFBFBF"/>
        </bottom>
      </border>
    </dxf>
    <dxf>
      <fill>
        <patternFill>
          <bgColor theme="0"/>
        </patternFill>
      </fill>
    </dxf>
    <dxf>
      <border outline="0">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rgb="FF1F3864"/>
          <bgColor rgb="FF2F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[Greenway_CashFlow.xlsx]Pivot Table!PivotTable39</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rPr>
              <a:t>Net Cash Flow</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3678434273002677E-2"/>
              <c:y val="-7.169797775159042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018497212327077E-2"/>
                  <c:h val="9.1509264917635114E-2"/>
                </c:manualLayout>
              </c15:layout>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EAA4-414C-ADBD-23A7E0C5E3EA}"/>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6841-4DF2-85FE-8B2875408EBE}"/>
              </c:ext>
            </c:extLst>
          </c:dPt>
          <c:dLbls>
            <c:dLbl>
              <c:idx val="2"/>
              <c:layout>
                <c:manualLayout>
                  <c:x val="-7.3678434273002677E-2"/>
                  <c:y val="-7.1697977751590425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018497212327077E-2"/>
                      <c:h val="9.1509264917635114E-2"/>
                    </c:manualLayout>
                  </c15:layout>
                </c:ext>
                <c:ext xmlns:c16="http://schemas.microsoft.com/office/drawing/2014/chart" uri="{C3380CC4-5D6E-409C-BE32-E72D297353CC}">
                  <c16:uniqueId val="{00000000-EAA4-414C-ADBD-23A7E0C5E3EA}"/>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Table'!$J$3:$J$16</c:f>
              <c:strCache>
                <c:ptCount val="13"/>
                <c:pt idx="0">
                  <c:v>Week 01</c:v>
                </c:pt>
                <c:pt idx="1">
                  <c:v>Week 02</c:v>
                </c:pt>
                <c:pt idx="2">
                  <c:v>Week 03</c:v>
                </c:pt>
                <c:pt idx="3">
                  <c:v>Week 04</c:v>
                </c:pt>
                <c:pt idx="4">
                  <c:v>Week 05</c:v>
                </c:pt>
                <c:pt idx="5">
                  <c:v>Week 06</c:v>
                </c:pt>
                <c:pt idx="6">
                  <c:v>Week 07</c:v>
                </c:pt>
                <c:pt idx="7">
                  <c:v>Week 08</c:v>
                </c:pt>
                <c:pt idx="8">
                  <c:v>Week 09</c:v>
                </c:pt>
                <c:pt idx="9">
                  <c:v>Week 10</c:v>
                </c:pt>
                <c:pt idx="10">
                  <c:v>Week 11</c:v>
                </c:pt>
                <c:pt idx="11">
                  <c:v>Week 12</c:v>
                </c:pt>
                <c:pt idx="12">
                  <c:v>Week 13</c:v>
                </c:pt>
              </c:strCache>
            </c:strRef>
          </c:cat>
          <c:val>
            <c:numRef>
              <c:f>'Pivot Table'!$K$3:$K$16</c:f>
              <c:numCache>
                <c:formatCode>"$"#,##0</c:formatCode>
                <c:ptCount val="13"/>
                <c:pt idx="0">
                  <c:v>-8860</c:v>
                </c:pt>
                <c:pt idx="1">
                  <c:v>780</c:v>
                </c:pt>
                <c:pt idx="2">
                  <c:v>-12600</c:v>
                </c:pt>
                <c:pt idx="3">
                  <c:v>-10800</c:v>
                </c:pt>
                <c:pt idx="4">
                  <c:v>-14860</c:v>
                </c:pt>
                <c:pt idx="5">
                  <c:v>-11460</c:v>
                </c:pt>
                <c:pt idx="6">
                  <c:v>-17700</c:v>
                </c:pt>
                <c:pt idx="7">
                  <c:v>7100</c:v>
                </c:pt>
                <c:pt idx="8">
                  <c:v>140</c:v>
                </c:pt>
                <c:pt idx="9">
                  <c:v>1200</c:v>
                </c:pt>
                <c:pt idx="10">
                  <c:v>1080</c:v>
                </c:pt>
                <c:pt idx="11">
                  <c:v>-900</c:v>
                </c:pt>
                <c:pt idx="12">
                  <c:v>700</c:v>
                </c:pt>
              </c:numCache>
            </c:numRef>
          </c:val>
          <c:smooth val="0"/>
          <c:extLst>
            <c:ext xmlns:c16="http://schemas.microsoft.com/office/drawing/2014/chart" uri="{C3380CC4-5D6E-409C-BE32-E72D297353CC}">
              <c16:uniqueId val="{00000000-6B2F-41AB-9DB8-89CD45BC9EF2}"/>
            </c:ext>
          </c:extLst>
        </c:ser>
        <c:dLbls>
          <c:dLblPos val="l"/>
          <c:showLegendKey val="0"/>
          <c:showVal val="1"/>
          <c:showCatName val="0"/>
          <c:showSerName val="0"/>
          <c:showPercent val="0"/>
          <c:showBubbleSize val="0"/>
        </c:dLbls>
        <c:marker val="1"/>
        <c:smooth val="0"/>
        <c:axId val="968807791"/>
        <c:axId val="968811151"/>
      </c:lineChart>
      <c:catAx>
        <c:axId val="9688077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8811151"/>
        <c:crosses val="autoZero"/>
        <c:auto val="1"/>
        <c:lblAlgn val="ctr"/>
        <c:lblOffset val="100"/>
        <c:noMultiLvlLbl val="0"/>
      </c:catAx>
      <c:valAx>
        <c:axId val="96881115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880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[Greenway_CashFlow.xlsx]Pivot Table!PivotTable38</c:name>
    <c:fmtId val="2"/>
  </c:pivotSource>
  <c:chart>
    <c:title>
      <c:tx>
        <c:rich>
          <a:bodyPr rot="0" spcFirstLastPara="1" vertOverflow="ellipsis" vert="horz" wrap="square" anchor="ctr" anchorCtr="1"/>
          <a:lstStyle/>
          <a:p>
            <a:pPr>
              <a:defRPr lang="en-US" sz="1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Beginning and Ending Balance by Week</a:t>
            </a:r>
          </a:p>
        </c:rich>
      </c:tx>
      <c:layout>
        <c:manualLayout>
          <c:xMode val="edge"/>
          <c:yMode val="edge"/>
          <c:x val="0.36082135671647031"/>
          <c:y val="5.4721229498005043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dLbl>
          <c:idx val="0"/>
          <c:layout>
            <c:manualLayout>
              <c:x val="2.6430431827546369E-2"/>
              <c:y val="-8.3955157035235109E-2"/>
            </c:manualLayout>
          </c:layout>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6922581377384114E-2"/>
                  <c:h val="0.13666806195060696"/>
                </c:manualLayout>
              </c15:layout>
            </c:ext>
          </c:extLst>
        </c:dLbl>
      </c:pivotFmt>
    </c:pivotFmts>
    <c:plotArea>
      <c:layout>
        <c:manualLayout>
          <c:layoutTarget val="inner"/>
          <c:xMode val="edge"/>
          <c:yMode val="edge"/>
          <c:x val="0.21078353182118284"/>
          <c:y val="6.1836518378042979E-2"/>
          <c:w val="0.72621080875729993"/>
          <c:h val="0.54659774302326014"/>
        </c:manualLayout>
      </c:layout>
      <c:barChart>
        <c:barDir val="col"/>
        <c:grouping val="clustered"/>
        <c:varyColors val="0"/>
        <c:ser>
          <c:idx val="0"/>
          <c:order val="0"/>
          <c:tx>
            <c:strRef>
              <c:f>'Pivot Table'!$G$2</c:f>
              <c:strCache>
                <c:ptCount val="1"/>
                <c:pt idx="0">
                  <c:v>Beginning Balance</c:v>
                </c:pt>
              </c:strCache>
            </c:strRef>
          </c:tx>
          <c:spPr>
            <a:solidFill>
              <a:schemeClr val="accent1"/>
            </a:solidFill>
            <a:ln w="38100">
              <a:noFill/>
            </a:ln>
            <a:effectLst/>
          </c:spPr>
          <c:invertIfNegative val="0"/>
          <c:cat>
            <c:strRef>
              <c:f>'Pivot Table'!$F$3:$F$16</c:f>
              <c:strCache>
                <c:ptCount val="13"/>
                <c:pt idx="0">
                  <c:v>Week 01</c:v>
                </c:pt>
                <c:pt idx="1">
                  <c:v>Week 02</c:v>
                </c:pt>
                <c:pt idx="2">
                  <c:v>Week 03</c:v>
                </c:pt>
                <c:pt idx="3">
                  <c:v>Week 04</c:v>
                </c:pt>
                <c:pt idx="4">
                  <c:v>Week 05</c:v>
                </c:pt>
                <c:pt idx="5">
                  <c:v>Week 06</c:v>
                </c:pt>
                <c:pt idx="6">
                  <c:v>Week 07</c:v>
                </c:pt>
                <c:pt idx="7">
                  <c:v>Week 08</c:v>
                </c:pt>
                <c:pt idx="8">
                  <c:v>Week 09</c:v>
                </c:pt>
                <c:pt idx="9">
                  <c:v>Week 10</c:v>
                </c:pt>
                <c:pt idx="10">
                  <c:v>Week 11</c:v>
                </c:pt>
                <c:pt idx="11">
                  <c:v>Week 12</c:v>
                </c:pt>
                <c:pt idx="12">
                  <c:v>Week 13</c:v>
                </c:pt>
              </c:strCache>
            </c:strRef>
          </c:cat>
          <c:val>
            <c:numRef>
              <c:f>'Pivot Table'!$G$3:$G$16</c:f>
              <c:numCache>
                <c:formatCode>"$"#,##0</c:formatCode>
                <c:ptCount val="13"/>
                <c:pt idx="0">
                  <c:v>85000</c:v>
                </c:pt>
                <c:pt idx="1">
                  <c:v>76140</c:v>
                </c:pt>
                <c:pt idx="2">
                  <c:v>76920</c:v>
                </c:pt>
                <c:pt idx="3">
                  <c:v>64320</c:v>
                </c:pt>
                <c:pt idx="4">
                  <c:v>53520</c:v>
                </c:pt>
                <c:pt idx="5">
                  <c:v>38660</c:v>
                </c:pt>
                <c:pt idx="6">
                  <c:v>27200</c:v>
                </c:pt>
                <c:pt idx="7">
                  <c:v>9500</c:v>
                </c:pt>
                <c:pt idx="8">
                  <c:v>16600</c:v>
                </c:pt>
                <c:pt idx="9">
                  <c:v>16740</c:v>
                </c:pt>
                <c:pt idx="10">
                  <c:v>17940</c:v>
                </c:pt>
                <c:pt idx="11">
                  <c:v>19020</c:v>
                </c:pt>
                <c:pt idx="12">
                  <c:v>18120</c:v>
                </c:pt>
              </c:numCache>
            </c:numRef>
          </c:val>
          <c:extLst>
            <c:ext xmlns:c16="http://schemas.microsoft.com/office/drawing/2014/chart" uri="{C3380CC4-5D6E-409C-BE32-E72D297353CC}">
              <c16:uniqueId val="{00000000-2422-4B4F-AA14-6E0B47D09C6E}"/>
            </c:ext>
          </c:extLst>
        </c:ser>
        <c:ser>
          <c:idx val="1"/>
          <c:order val="1"/>
          <c:tx>
            <c:strRef>
              <c:f>'Pivot Table'!$H$2</c:f>
              <c:strCache>
                <c:ptCount val="1"/>
                <c:pt idx="0">
                  <c:v>Ending Balance</c:v>
                </c:pt>
              </c:strCache>
            </c:strRef>
          </c:tx>
          <c:spPr>
            <a:solidFill>
              <a:schemeClr val="accent1">
                <a:lumMod val="60000"/>
                <a:lumOff val="40000"/>
              </a:schemeClr>
            </a:solidFill>
            <a:ln>
              <a:noFill/>
            </a:ln>
            <a:effectLst/>
          </c:spPr>
          <c:invertIfNegative val="0"/>
          <c:dPt>
            <c:idx val="5"/>
            <c:invertIfNegative val="0"/>
            <c:bubble3D val="0"/>
            <c:extLst>
              <c:ext xmlns:c16="http://schemas.microsoft.com/office/drawing/2014/chart" uri="{C3380CC4-5D6E-409C-BE32-E72D297353CC}">
                <c16:uniqueId val="{00000001-AE77-4561-AE54-895B19772F6E}"/>
              </c:ext>
            </c:extLst>
          </c:dPt>
          <c:dPt>
            <c:idx val="6"/>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2422-4B4F-AA14-6E0B47D09C6E}"/>
              </c:ext>
            </c:extLst>
          </c:dPt>
          <c:dLbls>
            <c:dLbl>
              <c:idx val="6"/>
              <c:layout>
                <c:manualLayout>
                  <c:x val="2.6430431827546369E-2"/>
                  <c:y val="-8.3955157035235109E-2"/>
                </c:manualLayout>
              </c:layout>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6922581377384114E-2"/>
                      <c:h val="0.13666806195060696"/>
                    </c:manualLayout>
                  </c15:layout>
                </c:ext>
                <c:ext xmlns:c16="http://schemas.microsoft.com/office/drawing/2014/chart" uri="{C3380CC4-5D6E-409C-BE32-E72D297353CC}">
                  <c16:uniqueId val="{00000003-2422-4B4F-AA14-6E0B47D09C6E}"/>
                </c:ext>
              </c:extLst>
            </c:d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Table'!$F$3:$F$16</c:f>
              <c:strCache>
                <c:ptCount val="13"/>
                <c:pt idx="0">
                  <c:v>Week 01</c:v>
                </c:pt>
                <c:pt idx="1">
                  <c:v>Week 02</c:v>
                </c:pt>
                <c:pt idx="2">
                  <c:v>Week 03</c:v>
                </c:pt>
                <c:pt idx="3">
                  <c:v>Week 04</c:v>
                </c:pt>
                <c:pt idx="4">
                  <c:v>Week 05</c:v>
                </c:pt>
                <c:pt idx="5">
                  <c:v>Week 06</c:v>
                </c:pt>
                <c:pt idx="6">
                  <c:v>Week 07</c:v>
                </c:pt>
                <c:pt idx="7">
                  <c:v>Week 08</c:v>
                </c:pt>
                <c:pt idx="8">
                  <c:v>Week 09</c:v>
                </c:pt>
                <c:pt idx="9">
                  <c:v>Week 10</c:v>
                </c:pt>
                <c:pt idx="10">
                  <c:v>Week 11</c:v>
                </c:pt>
                <c:pt idx="11">
                  <c:v>Week 12</c:v>
                </c:pt>
                <c:pt idx="12">
                  <c:v>Week 13</c:v>
                </c:pt>
              </c:strCache>
            </c:strRef>
          </c:cat>
          <c:val>
            <c:numRef>
              <c:f>'Pivot Table'!$H$3:$H$16</c:f>
              <c:numCache>
                <c:formatCode>"$"#,##0</c:formatCode>
                <c:ptCount val="13"/>
                <c:pt idx="0">
                  <c:v>76140</c:v>
                </c:pt>
                <c:pt idx="1">
                  <c:v>76920</c:v>
                </c:pt>
                <c:pt idx="2">
                  <c:v>64320</c:v>
                </c:pt>
                <c:pt idx="3">
                  <c:v>53520</c:v>
                </c:pt>
                <c:pt idx="4">
                  <c:v>38660</c:v>
                </c:pt>
                <c:pt idx="5">
                  <c:v>27200</c:v>
                </c:pt>
                <c:pt idx="6">
                  <c:v>9500</c:v>
                </c:pt>
                <c:pt idx="7">
                  <c:v>16600</c:v>
                </c:pt>
                <c:pt idx="8">
                  <c:v>16740</c:v>
                </c:pt>
                <c:pt idx="9">
                  <c:v>17940</c:v>
                </c:pt>
                <c:pt idx="10">
                  <c:v>19020</c:v>
                </c:pt>
                <c:pt idx="11">
                  <c:v>18120</c:v>
                </c:pt>
                <c:pt idx="12">
                  <c:v>18820</c:v>
                </c:pt>
              </c:numCache>
            </c:numRef>
          </c:val>
          <c:extLst>
            <c:ext xmlns:c16="http://schemas.microsoft.com/office/drawing/2014/chart" uri="{C3380CC4-5D6E-409C-BE32-E72D297353CC}">
              <c16:uniqueId val="{00000001-2422-4B4F-AA14-6E0B47D09C6E}"/>
            </c:ext>
          </c:extLst>
        </c:ser>
        <c:dLbls>
          <c:showLegendKey val="0"/>
          <c:showVal val="0"/>
          <c:showCatName val="0"/>
          <c:showSerName val="0"/>
          <c:showPercent val="0"/>
          <c:showBubbleSize val="0"/>
        </c:dLbls>
        <c:gapWidth val="219"/>
        <c:axId val="961495631"/>
        <c:axId val="961496111"/>
      </c:barChart>
      <c:catAx>
        <c:axId val="96149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1496111"/>
        <c:crosses val="autoZero"/>
        <c:auto val="1"/>
        <c:lblAlgn val="ctr"/>
        <c:lblOffset val="100"/>
        <c:noMultiLvlLbl val="0"/>
      </c:catAx>
      <c:valAx>
        <c:axId val="96149611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1495631"/>
        <c:crosses val="autoZero"/>
        <c:crossBetween val="between"/>
      </c:valAx>
      <c:spPr>
        <a:noFill/>
        <a:ln>
          <a:noFill/>
        </a:ln>
        <a:effectLst/>
      </c:spPr>
    </c:plotArea>
    <c:legend>
      <c:legendPos val="r"/>
      <c:layout>
        <c:manualLayout>
          <c:xMode val="edge"/>
          <c:yMode val="edge"/>
          <c:x val="0"/>
          <c:y val="0.73142501151709838"/>
          <c:w val="0.24077340179996121"/>
          <c:h val="0.26673350121038775"/>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[Greenway_CashFlow.xlsx]Pivot Table!PivotTable43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Arial" panose="020B0604020202020204" pitchFamily="34" charset="0"/>
                <a:cs typeface="Arial" panose="020B0604020202020204" pitchFamily="34" charset="0"/>
              </a:rPr>
              <a:t>Total Outflow by Category Name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pivotFmt>
      <c:pivotFmt>
        <c:idx val="6"/>
        <c:spPr>
          <a:solidFill>
            <a:schemeClr val="tx2">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pivotFmt>
      <c:pivotFmt>
        <c:idx val="8"/>
        <c:spPr>
          <a:solidFill>
            <a:schemeClr val="bg1">
              <a:lumMod val="65000"/>
            </a:schemeClr>
          </a:solidFill>
          <a:ln>
            <a:noFill/>
          </a:ln>
          <a:effectLst/>
        </c:spPr>
      </c:pivotFmt>
      <c:pivotFmt>
        <c:idx val="9"/>
        <c:spPr>
          <a:solidFill>
            <a:schemeClr val="bg1">
              <a:lumMod val="75000"/>
            </a:schemeClr>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tx2">
              <a:lumMod val="60000"/>
              <a:lumOff val="40000"/>
            </a:schemeClr>
          </a:solidFill>
          <a:ln>
            <a:noFill/>
          </a:ln>
          <a:effectLst/>
        </c:spPr>
      </c:pivotFmt>
    </c:pivotFmts>
    <c:plotArea>
      <c:layout/>
      <c:barChart>
        <c:barDir val="col"/>
        <c:grouping val="clustered"/>
        <c:varyColors val="0"/>
        <c:ser>
          <c:idx val="0"/>
          <c:order val="0"/>
          <c:tx>
            <c:strRef>
              <c:f>'Pivot Table'!$P$4</c:f>
              <c:strCache>
                <c:ptCount val="1"/>
                <c:pt idx="0">
                  <c:v>Total</c:v>
                </c:pt>
              </c:strCache>
            </c:strRef>
          </c:tx>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EAC3-4069-8355-74157E0CA489}"/>
              </c:ext>
            </c:extLst>
          </c:dPt>
          <c:dPt>
            <c:idx val="1"/>
            <c:invertIfNegative val="0"/>
            <c:bubble3D val="0"/>
            <c:extLst>
              <c:ext xmlns:c16="http://schemas.microsoft.com/office/drawing/2014/chart" uri="{C3380CC4-5D6E-409C-BE32-E72D297353CC}">
                <c16:uniqueId val="{00000003-BA9B-4B6D-ACD3-418364B041B5}"/>
              </c:ext>
            </c:extLst>
          </c:dPt>
          <c:dPt>
            <c:idx val="2"/>
            <c:invertIfNegative val="0"/>
            <c:bubble3D val="0"/>
            <c:extLst>
              <c:ext xmlns:c16="http://schemas.microsoft.com/office/drawing/2014/chart" uri="{C3380CC4-5D6E-409C-BE32-E72D297353CC}">
                <c16:uniqueId val="{00000004-BA9B-4B6D-ACD3-418364B041B5}"/>
              </c:ext>
            </c:extLst>
          </c:dPt>
          <c:dPt>
            <c:idx val="3"/>
            <c:invertIfNegative val="0"/>
            <c:bubble3D val="0"/>
            <c:extLst>
              <c:ext xmlns:c16="http://schemas.microsoft.com/office/drawing/2014/chart" uri="{C3380CC4-5D6E-409C-BE32-E72D297353CC}">
                <c16:uniqueId val="{00000005-BA9B-4B6D-ACD3-418364B041B5}"/>
              </c:ext>
            </c:extLst>
          </c:dPt>
          <c:dPt>
            <c:idx val="4"/>
            <c:invertIfNegative val="0"/>
            <c:bubble3D val="0"/>
            <c:extLst>
              <c:ext xmlns:c16="http://schemas.microsoft.com/office/drawing/2014/chart" uri="{C3380CC4-5D6E-409C-BE32-E72D297353CC}">
                <c16:uniqueId val="{00000002-BA9B-4B6D-ACD3-418364B041B5}"/>
              </c:ext>
            </c:extLst>
          </c:dPt>
          <c:dPt>
            <c:idx val="5"/>
            <c:invertIfNegative val="0"/>
            <c:bubble3D val="0"/>
            <c:extLst>
              <c:ext xmlns:c16="http://schemas.microsoft.com/office/drawing/2014/chart" uri="{C3380CC4-5D6E-409C-BE32-E72D297353CC}">
                <c16:uniqueId val="{00000001-BA9B-4B6D-ACD3-418364B041B5}"/>
              </c:ext>
            </c:extLst>
          </c:dPt>
          <c:dPt>
            <c:idx val="6"/>
            <c:invertIfNegative val="0"/>
            <c:bubble3D val="0"/>
            <c:extLst>
              <c:ext xmlns:c16="http://schemas.microsoft.com/office/drawing/2014/chart" uri="{C3380CC4-5D6E-409C-BE32-E72D297353CC}">
                <c16:uniqueId val="{0000000D-EAC3-4069-8355-74157E0CA489}"/>
              </c:ext>
            </c:extLst>
          </c:dPt>
          <c:dPt>
            <c:idx val="7"/>
            <c:invertIfNegative val="0"/>
            <c:bubble3D val="0"/>
            <c:extLst>
              <c:ext xmlns:c16="http://schemas.microsoft.com/office/drawing/2014/chart" uri="{C3380CC4-5D6E-409C-BE32-E72D297353CC}">
                <c16:uniqueId val="{00000006-BA9B-4B6D-ACD3-418364B041B5}"/>
              </c:ext>
            </c:extLst>
          </c:dPt>
          <c:dPt>
            <c:idx val="8"/>
            <c:invertIfNegative val="0"/>
            <c:bubble3D val="0"/>
            <c:extLst>
              <c:ext xmlns:c16="http://schemas.microsoft.com/office/drawing/2014/chart" uri="{C3380CC4-5D6E-409C-BE32-E72D297353CC}">
                <c16:uniqueId val="{00000011-EAC3-4069-8355-74157E0CA489}"/>
              </c:ext>
            </c:extLst>
          </c:dPt>
          <c:dPt>
            <c:idx val="9"/>
            <c:invertIfNegative val="0"/>
            <c:bubble3D val="0"/>
            <c:extLst>
              <c:ext xmlns:c16="http://schemas.microsoft.com/office/drawing/2014/chart" uri="{C3380CC4-5D6E-409C-BE32-E72D297353CC}">
                <c16:uniqueId val="{00000007-BA9B-4B6D-ACD3-418364B041B5}"/>
              </c:ext>
            </c:extLst>
          </c:dPt>
          <c:dPt>
            <c:idx val="10"/>
            <c:invertIfNegative val="0"/>
            <c:bubble3D val="0"/>
            <c:extLst>
              <c:ext xmlns:c16="http://schemas.microsoft.com/office/drawing/2014/chart" uri="{C3380CC4-5D6E-409C-BE32-E72D297353CC}">
                <c16:uniqueId val="{00000015-EAC3-4069-8355-74157E0CA489}"/>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Table'!$P$5</c:f>
              <c:strCache>
                <c:ptCount val="1"/>
                <c:pt idx="0">
                  <c:v>Total</c:v>
                </c:pt>
              </c:strCache>
            </c:strRef>
          </c:cat>
          <c:val>
            <c:numRef>
              <c:f>'Pivot Table'!$P$5</c:f>
              <c:numCache>
                <c:formatCode>"$"#,##0</c:formatCode>
                <c:ptCount val="1"/>
                <c:pt idx="0">
                  <c:v>25500</c:v>
                </c:pt>
              </c:numCache>
            </c:numRef>
          </c:val>
          <c:extLst>
            <c:ext xmlns:c16="http://schemas.microsoft.com/office/drawing/2014/chart" uri="{C3380CC4-5D6E-409C-BE32-E72D297353CC}">
              <c16:uniqueId val="{00000000-BA9B-4B6D-ACD3-418364B041B5}"/>
            </c:ext>
          </c:extLst>
        </c:ser>
        <c:dLbls>
          <c:dLblPos val="outEnd"/>
          <c:showLegendKey val="0"/>
          <c:showVal val="1"/>
          <c:showCatName val="0"/>
          <c:showSerName val="0"/>
          <c:showPercent val="0"/>
          <c:showBubbleSize val="0"/>
        </c:dLbls>
        <c:gapWidth val="204"/>
        <c:axId val="1132443264"/>
        <c:axId val="1132444224"/>
      </c:barChart>
      <c:catAx>
        <c:axId val="1132443264"/>
        <c:scaling>
          <c:orientation val="minMax"/>
        </c:scaling>
        <c:delete val="1"/>
        <c:axPos val="b"/>
        <c:numFmt formatCode="General" sourceLinked="1"/>
        <c:majorTickMark val="out"/>
        <c:minorTickMark val="none"/>
        <c:tickLblPos val="nextTo"/>
        <c:crossAx val="1132444224"/>
        <c:crosses val="autoZero"/>
        <c:auto val="1"/>
        <c:lblAlgn val="ctr"/>
        <c:lblOffset val="100"/>
        <c:noMultiLvlLbl val="0"/>
      </c:catAx>
      <c:valAx>
        <c:axId val="1132444224"/>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4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448734</xdr:colOff>
      <xdr:row>1</xdr:row>
      <xdr:rowOff>49953</xdr:rowOff>
    </xdr:from>
    <xdr:to>
      <xdr:col>19</xdr:col>
      <xdr:colOff>8467</xdr:colOff>
      <xdr:row>3</xdr:row>
      <xdr:rowOff>136313</xdr:rowOff>
    </xdr:to>
    <xdr:sp macro="" textlink="">
      <xdr:nvSpPr>
        <xdr:cNvPr id="7" name="Rectangle: Rounded Corners 6">
          <a:extLst>
            <a:ext uri="{FF2B5EF4-FFF2-40B4-BE49-F238E27FC236}">
              <a16:creationId xmlns:a16="http://schemas.microsoft.com/office/drawing/2014/main" id="{04EDB5CC-44DF-457A-A7C0-FA07C13704EA}"/>
            </a:ext>
          </a:extLst>
        </xdr:cNvPr>
        <xdr:cNvSpPr/>
      </xdr:nvSpPr>
      <xdr:spPr>
        <a:xfrm>
          <a:off x="1667934" y="227753"/>
          <a:ext cx="9922933" cy="4419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2"/>
              </a:solidFill>
              <a:latin typeface="Times New Roman" panose="02020603050405020304" pitchFamily="18" charset="0"/>
              <a:cs typeface="Times New Roman" panose="02020603050405020304" pitchFamily="18" charset="0"/>
            </a:rPr>
            <a:t>CASH</a:t>
          </a:r>
          <a:r>
            <a:rPr lang="en-US" sz="2000" b="1" baseline="0">
              <a:solidFill>
                <a:schemeClr val="tx2"/>
              </a:solidFill>
              <a:latin typeface="Times New Roman" panose="02020603050405020304" pitchFamily="18" charset="0"/>
              <a:cs typeface="Times New Roman" panose="02020603050405020304" pitchFamily="18" charset="0"/>
            </a:rPr>
            <a:t> FLOW DASHBORD</a:t>
          </a:r>
          <a:endParaRPr lang="en-US" sz="20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448734</xdr:colOff>
      <xdr:row>4</xdr:row>
      <xdr:rowOff>16933</xdr:rowOff>
    </xdr:from>
    <xdr:to>
      <xdr:col>19</xdr:col>
      <xdr:colOff>8467</xdr:colOff>
      <xdr:row>7</xdr:row>
      <xdr:rowOff>118533</xdr:rowOff>
    </xdr:to>
    <mc:AlternateContent xmlns:mc="http://schemas.openxmlformats.org/markup-compatibility/2006" xmlns:a14="http://schemas.microsoft.com/office/drawing/2010/main">
      <mc:Choice Requires="a14">
        <xdr:graphicFrame macro="">
          <xdr:nvGraphicFramePr>
            <xdr:cNvPr id="38" name="Week">
              <a:extLst>
                <a:ext uri="{FF2B5EF4-FFF2-40B4-BE49-F238E27FC236}">
                  <a16:creationId xmlns:a16="http://schemas.microsoft.com/office/drawing/2014/main" id="{28F7C9DA-E8B5-4CAB-983A-6143381B37A1}"/>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1667934" y="728133"/>
              <a:ext cx="9922933" cy="668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469035</xdr:colOff>
      <xdr:row>8</xdr:row>
      <xdr:rowOff>25400</xdr:rowOff>
    </xdr:from>
    <xdr:to>
      <xdr:col>19</xdr:col>
      <xdr:colOff>25400</xdr:colOff>
      <xdr:row>32</xdr:row>
      <xdr:rowOff>42334</xdr:rowOff>
    </xdr:to>
    <xdr:grpSp>
      <xdr:nvGrpSpPr>
        <xdr:cNvPr id="2" name="Group 1">
          <a:extLst>
            <a:ext uri="{FF2B5EF4-FFF2-40B4-BE49-F238E27FC236}">
              <a16:creationId xmlns:a16="http://schemas.microsoft.com/office/drawing/2014/main" id="{207A4B71-E22B-8600-F5A2-FA6505845D46}"/>
            </a:ext>
          </a:extLst>
        </xdr:cNvPr>
        <xdr:cNvGrpSpPr/>
      </xdr:nvGrpSpPr>
      <xdr:grpSpPr>
        <a:xfrm>
          <a:off x="1680890" y="1457593"/>
          <a:ext cx="9857137" cy="4203343"/>
          <a:chOff x="1688235" y="1312334"/>
          <a:chExt cx="9919565" cy="4284134"/>
        </a:xfrm>
      </xdr:grpSpPr>
      <xdr:sp macro="" textlink="">
        <xdr:nvSpPr>
          <xdr:cNvPr id="6" name="Rectangle 5">
            <a:extLst>
              <a:ext uri="{FF2B5EF4-FFF2-40B4-BE49-F238E27FC236}">
                <a16:creationId xmlns:a16="http://schemas.microsoft.com/office/drawing/2014/main" id="{8523168D-569A-4361-9FFF-06CC5EADF840}"/>
              </a:ext>
            </a:extLst>
          </xdr:cNvPr>
          <xdr:cNvSpPr/>
        </xdr:nvSpPr>
        <xdr:spPr>
          <a:xfrm>
            <a:off x="1688235" y="1312334"/>
            <a:ext cx="9919565" cy="4284134"/>
          </a:xfrm>
          <a:prstGeom prst="rect">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200">
              <a:latin typeface="Times New Roman" panose="02020603050405020304" pitchFamily="18" charset="0"/>
              <a:cs typeface="Times New Roman" panose="02020603050405020304" pitchFamily="18" charset="0"/>
            </a:endParaRPr>
          </a:p>
        </xdr:txBody>
      </xdr:sp>
      <xdr:sp macro="" textlink="">
        <xdr:nvSpPr>
          <xdr:cNvPr id="8" name="Rectangle: Rounded Corners 7">
            <a:extLst>
              <a:ext uri="{FF2B5EF4-FFF2-40B4-BE49-F238E27FC236}">
                <a16:creationId xmlns:a16="http://schemas.microsoft.com/office/drawing/2014/main" id="{D308FACE-4020-4554-A356-FC7AF9FEAB3A}"/>
              </a:ext>
            </a:extLst>
          </xdr:cNvPr>
          <xdr:cNvSpPr/>
        </xdr:nvSpPr>
        <xdr:spPr>
          <a:xfrm>
            <a:off x="1855874" y="1405113"/>
            <a:ext cx="3046326" cy="56659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solidFill>
                <a:latin typeface="Times New Roman" panose="02020603050405020304" pitchFamily="18" charset="0"/>
                <a:cs typeface="Times New Roman" panose="02020603050405020304" pitchFamily="18" charset="0"/>
              </a:rPr>
              <a:t>TOTAL</a:t>
            </a:r>
            <a:r>
              <a:rPr lang="en-US" sz="1200" b="1" baseline="0">
                <a:solidFill>
                  <a:schemeClr val="accent1"/>
                </a:solidFill>
                <a:latin typeface="Times New Roman" panose="02020603050405020304" pitchFamily="18" charset="0"/>
                <a:cs typeface="Times New Roman" panose="02020603050405020304" pitchFamily="18" charset="0"/>
              </a:rPr>
              <a:t> OUTFLOW </a:t>
            </a:r>
            <a:endParaRPr lang="en-US" sz="1200" b="1">
              <a:solidFill>
                <a:schemeClr val="accent1"/>
              </a:solidFill>
              <a:latin typeface="Times New Roman" panose="02020603050405020304" pitchFamily="18" charset="0"/>
              <a:cs typeface="Times New Roman" panose="02020603050405020304" pitchFamily="18" charset="0"/>
            </a:endParaRPr>
          </a:p>
        </xdr:txBody>
      </xdr:sp>
      <xdr:sp macro="" textlink="'Pivot Table'!D19">
        <xdr:nvSpPr>
          <xdr:cNvPr id="16" name="TextBox 15">
            <a:extLst>
              <a:ext uri="{FF2B5EF4-FFF2-40B4-BE49-F238E27FC236}">
                <a16:creationId xmlns:a16="http://schemas.microsoft.com/office/drawing/2014/main" id="{27EB9899-63DF-9BA1-EF32-F9F93DC78D37}"/>
              </a:ext>
            </a:extLst>
          </xdr:cNvPr>
          <xdr:cNvSpPr txBox="1"/>
        </xdr:nvSpPr>
        <xdr:spPr>
          <a:xfrm>
            <a:off x="2412137" y="1609603"/>
            <a:ext cx="1880463" cy="42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2D1CF9-8388-4DDB-A9B4-8277A1C69189}"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$276,940</a:t>
            </a:fld>
            <a:endParaRPr lang="en-US" sz="2000" b="1">
              <a:solidFill>
                <a:schemeClr val="tx1"/>
              </a:solidFill>
              <a:latin typeface="Times New Roman" panose="02020603050405020304" pitchFamily="18" charset="0"/>
              <a:cs typeface="Times New Roman" panose="02020603050405020304" pitchFamily="18" charset="0"/>
            </a:endParaRPr>
          </a:p>
        </xdr:txBody>
      </xdr:sp>
      <xdr:sp macro="" textlink="">
        <xdr:nvSpPr>
          <xdr:cNvPr id="10" name="Rectangle: Rounded Corners 9">
            <a:extLst>
              <a:ext uri="{FF2B5EF4-FFF2-40B4-BE49-F238E27FC236}">
                <a16:creationId xmlns:a16="http://schemas.microsoft.com/office/drawing/2014/main" id="{5A6C98BF-03D1-4A68-8DF3-2B8DD049B731}"/>
              </a:ext>
            </a:extLst>
          </xdr:cNvPr>
          <xdr:cNvSpPr/>
        </xdr:nvSpPr>
        <xdr:spPr>
          <a:xfrm>
            <a:off x="8500534" y="1406513"/>
            <a:ext cx="2907323" cy="54214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solidFill>
                <a:latin typeface="Times New Roman" panose="02020603050405020304" pitchFamily="18" charset="0"/>
                <a:cs typeface="Times New Roman" panose="02020603050405020304" pitchFamily="18" charset="0"/>
              </a:rPr>
              <a:t> NET CASH</a:t>
            </a:r>
            <a:r>
              <a:rPr lang="en-US" sz="1200" b="1" baseline="0">
                <a:solidFill>
                  <a:schemeClr val="accent1"/>
                </a:solidFill>
                <a:latin typeface="Times New Roman" panose="02020603050405020304" pitchFamily="18" charset="0"/>
                <a:cs typeface="Times New Roman" panose="02020603050405020304" pitchFamily="18" charset="0"/>
              </a:rPr>
              <a:t> FLOW</a:t>
            </a:r>
            <a:endParaRPr lang="en-US" sz="1200" b="1">
              <a:solidFill>
                <a:schemeClr val="accent1"/>
              </a:solidFill>
              <a:latin typeface="Times New Roman" panose="02020603050405020304" pitchFamily="18" charset="0"/>
              <a:cs typeface="Times New Roman" panose="02020603050405020304" pitchFamily="18" charset="0"/>
            </a:endParaRPr>
          </a:p>
        </xdr:txBody>
      </xdr:sp>
      <xdr:sp macro="" textlink="'Pivot Table'!K19">
        <xdr:nvSpPr>
          <xdr:cNvPr id="19" name="TextBox 18">
            <a:extLst>
              <a:ext uri="{FF2B5EF4-FFF2-40B4-BE49-F238E27FC236}">
                <a16:creationId xmlns:a16="http://schemas.microsoft.com/office/drawing/2014/main" id="{BAF88D03-C3F1-4FEF-8E98-78DC60320588}"/>
              </a:ext>
            </a:extLst>
          </xdr:cNvPr>
          <xdr:cNvSpPr txBox="1"/>
        </xdr:nvSpPr>
        <xdr:spPr>
          <a:xfrm>
            <a:off x="9169400" y="1604618"/>
            <a:ext cx="1750614" cy="403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B8ABB9-5250-4BEC-8A99-2FACC3244C35}"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-$66,180.00</a:t>
            </a:fld>
            <a:endParaRPr lang="en-US" sz="2000" b="1">
              <a:solidFill>
                <a:schemeClr val="tx1"/>
              </a:solidFill>
              <a:latin typeface="Times New Roman" panose="02020603050405020304" pitchFamily="18" charset="0"/>
              <a:cs typeface="Times New Roman" panose="02020603050405020304" pitchFamily="18" charset="0"/>
            </a:endParaRPr>
          </a:p>
        </xdr:txBody>
      </xdr:sp>
      <xdr:graphicFrame macro="">
        <xdr:nvGraphicFramePr>
          <xdr:cNvPr id="33" name="Chart 32">
            <a:extLst>
              <a:ext uri="{FF2B5EF4-FFF2-40B4-BE49-F238E27FC236}">
                <a16:creationId xmlns:a16="http://schemas.microsoft.com/office/drawing/2014/main" id="{F2E0270D-09D8-4AA8-AC6F-337C07CEF8CC}"/>
              </a:ext>
            </a:extLst>
          </xdr:cNvPr>
          <xdr:cNvGraphicFramePr>
            <a:graphicFrameLocks/>
          </xdr:cNvGraphicFramePr>
        </xdr:nvGraphicFramePr>
        <xdr:xfrm>
          <a:off x="6121400" y="3675742"/>
          <a:ext cx="5285721" cy="175694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4" name="Chart 33">
            <a:extLst>
              <a:ext uri="{FF2B5EF4-FFF2-40B4-BE49-F238E27FC236}">
                <a16:creationId xmlns:a16="http://schemas.microsoft.com/office/drawing/2014/main" id="{2EA22CE9-E4DD-41F8-AD1E-072164C29E64}"/>
              </a:ext>
            </a:extLst>
          </xdr:cNvPr>
          <xdr:cNvGraphicFramePr>
            <a:graphicFrameLocks/>
          </xdr:cNvGraphicFramePr>
        </xdr:nvGraphicFramePr>
        <xdr:xfrm>
          <a:off x="6121403" y="2060762"/>
          <a:ext cx="5285721" cy="161969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6" name="Chart 35">
            <a:extLst>
              <a:ext uri="{FF2B5EF4-FFF2-40B4-BE49-F238E27FC236}">
                <a16:creationId xmlns:a16="http://schemas.microsoft.com/office/drawing/2014/main" id="{A2F2764F-E815-4058-AB0A-1325E2A35194}"/>
              </a:ext>
            </a:extLst>
          </xdr:cNvPr>
          <xdr:cNvGraphicFramePr>
            <a:graphicFrameLocks/>
          </xdr:cNvGraphicFramePr>
        </xdr:nvGraphicFramePr>
        <xdr:xfrm>
          <a:off x="1854200" y="2053408"/>
          <a:ext cx="4267200" cy="33782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9" name="Rectangle: Rounded Corners 38">
            <a:extLst>
              <a:ext uri="{FF2B5EF4-FFF2-40B4-BE49-F238E27FC236}">
                <a16:creationId xmlns:a16="http://schemas.microsoft.com/office/drawing/2014/main" id="{F1362B16-CC29-4B31-BC76-4B939454D53F}"/>
              </a:ext>
            </a:extLst>
          </xdr:cNvPr>
          <xdr:cNvSpPr/>
        </xdr:nvSpPr>
        <xdr:spPr>
          <a:xfrm>
            <a:off x="5236354" y="1412118"/>
            <a:ext cx="3040418" cy="56575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solidFill>
                <a:latin typeface="Times New Roman" panose="02020603050405020304" pitchFamily="18" charset="0"/>
                <a:cs typeface="Times New Roman" panose="02020603050405020304" pitchFamily="18" charset="0"/>
              </a:rPr>
              <a:t>TOTAL</a:t>
            </a:r>
            <a:r>
              <a:rPr lang="en-US" sz="1200" b="1" baseline="0">
                <a:solidFill>
                  <a:schemeClr val="accent1"/>
                </a:solidFill>
                <a:latin typeface="Times New Roman" panose="02020603050405020304" pitchFamily="18" charset="0"/>
                <a:cs typeface="Times New Roman" panose="02020603050405020304" pitchFamily="18" charset="0"/>
              </a:rPr>
              <a:t> INFLOW </a:t>
            </a:r>
            <a:endParaRPr lang="en-US" sz="1200" b="1">
              <a:solidFill>
                <a:schemeClr val="accent1"/>
              </a:solidFill>
              <a:latin typeface="Times New Roman" panose="02020603050405020304" pitchFamily="18" charset="0"/>
              <a:cs typeface="Times New Roman" panose="02020603050405020304" pitchFamily="18" charset="0"/>
            </a:endParaRPr>
          </a:p>
        </xdr:txBody>
      </xdr:sp>
      <xdr:sp macro="" textlink="'Pivot Table'!C19">
        <xdr:nvSpPr>
          <xdr:cNvPr id="18" name="TextBox 17">
            <a:extLst>
              <a:ext uri="{FF2B5EF4-FFF2-40B4-BE49-F238E27FC236}">
                <a16:creationId xmlns:a16="http://schemas.microsoft.com/office/drawing/2014/main" id="{DA148520-6C99-454E-9C0E-39FD3A3B39EE}"/>
              </a:ext>
            </a:extLst>
          </xdr:cNvPr>
          <xdr:cNvSpPr txBox="1"/>
        </xdr:nvSpPr>
        <xdr:spPr>
          <a:xfrm>
            <a:off x="5837314" y="1645491"/>
            <a:ext cx="1779334" cy="432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3F4A8D-4D52-4BEE-9FFF-BB84E3CF7A33}"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$210,760</a:t>
            </a:fld>
            <a:endParaRPr lang="en-US" sz="2000" b="1">
              <a:solidFill>
                <a:schemeClr val="tx1"/>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0</xdr:col>
      <xdr:colOff>67733</xdr:colOff>
      <xdr:row>8</xdr:row>
      <xdr:rowOff>59267</xdr:rowOff>
    </xdr:from>
    <xdr:to>
      <xdr:col>2</xdr:col>
      <xdr:colOff>406400</xdr:colOff>
      <xdr:row>32</xdr:row>
      <xdr:rowOff>42333</xdr:rowOff>
    </xdr:to>
    <mc:AlternateContent xmlns:mc="http://schemas.openxmlformats.org/markup-compatibility/2006" xmlns:a14="http://schemas.microsoft.com/office/drawing/2010/main">
      <mc:Choice Requires="a14">
        <xdr:graphicFrame macro="">
          <xdr:nvGraphicFramePr>
            <xdr:cNvPr id="3" name="Expense/Week">
              <a:extLst>
                <a:ext uri="{FF2B5EF4-FFF2-40B4-BE49-F238E27FC236}">
                  <a16:creationId xmlns:a16="http://schemas.microsoft.com/office/drawing/2014/main" id="{ABE6296F-4206-4AE5-AFC9-ACEE62BC2F38}"/>
                </a:ext>
              </a:extLst>
            </xdr:cNvPr>
            <xdr:cNvGraphicFramePr/>
          </xdr:nvGraphicFramePr>
          <xdr:xfrm>
            <a:off x="0" y="0"/>
            <a:ext cx="0" cy="0"/>
          </xdr:xfrm>
          <a:graphic>
            <a:graphicData uri="http://schemas.microsoft.com/office/drawing/2010/slicer">
              <sle:slicer xmlns:sle="http://schemas.microsoft.com/office/drawing/2010/slicer" name="Expense/Week"/>
            </a:graphicData>
          </a:graphic>
        </xdr:graphicFrame>
      </mc:Choice>
      <mc:Fallback xmlns="">
        <xdr:sp macro="" textlink="">
          <xdr:nvSpPr>
            <xdr:cNvPr id="0" name=""/>
            <xdr:cNvSpPr>
              <a:spLocks noTextEdit="1"/>
            </xdr:cNvSpPr>
          </xdr:nvSpPr>
          <xdr:spPr>
            <a:xfrm>
              <a:off x="67733" y="1515534"/>
              <a:ext cx="1557867" cy="3124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ANG" refreshedDate="46187.766218055556" createdVersion="8" refreshedVersion="8" minRefreshableVersion="3" recordCount="11" xr:uid="{C65F588E-870B-4FA5-98C4-1A7C0BDD699F}">
  <cacheSource type="worksheet">
    <worksheetSource ref="M2:N13" sheet="Pivot Table"/>
  </cacheSource>
  <cacheFields count="2">
    <cacheField name="Expense/Week" numFmtId="0">
      <sharedItems count="11">
        <s v="Payroll - Field &amp; Office Staff"/>
        <s v="Office &amp; Yard Rent"/>
        <s v="Equipment Lease - Mowers &amp; Trucks"/>
        <s v="Commercial General Liability Ins."/>
        <s v="Workers' Compensation Insurance"/>
        <s v="Fuel &amp; Fleet Operating Costs"/>
        <s v="Landscaping Materials &amp; Supplies"/>
        <s v="SBA Term Loan Payment"/>
        <s v="Utilities - Office &amp; Yard"/>
        <s v="Software &amp; Subscriptions"/>
        <s v="Vehicle Registration &amp; Permits"/>
      </sharedItems>
    </cacheField>
    <cacheField name="Total" numFmtId="3">
      <sharedItems containsSemiMixedTypes="0" containsString="0" containsNumber="1" containsInteger="1" minValue="930" maxValue="156000" count="11">
        <n v="156000"/>
        <n v="25500"/>
        <n v="9600"/>
        <n v="5400"/>
        <n v="2850"/>
        <n v="36400"/>
        <n v="31500"/>
        <n v="6300"/>
        <n v="1260"/>
        <n v="930"/>
        <n v="1200"/>
      </sharedItems>
    </cacheField>
  </cacheFields>
  <extLst>
    <ext xmlns:x14="http://schemas.microsoft.com/office/spreadsheetml/2009/9/main" uri="{725AE2AE-9491-48be-B2B4-4EB974FC3084}">
      <x14:pivotCacheDefinition pivotCacheId="852528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GIANG" refreshedDate="46316.900624074071" createdVersion="8" refreshedVersion="8" minRefreshableVersion="3" recordCount="13" xr:uid="{28E23BDD-E4AD-4221-8E8F-E33792463792}">
  <cacheSource type="worksheet">
    <worksheetSource name="dataset"/>
  </cacheSource>
  <cacheFields count="7">
    <cacheField name="Week" numFmtId="0">
      <sharedItems count="13">
        <s v="Week 01"/>
        <s v="Week 02"/>
        <s v="Week 03"/>
        <s v="Week 04"/>
        <s v="Week 05"/>
        <s v="Week 06"/>
        <s v="Week 07"/>
        <s v="Week 08"/>
        <s v="Week 09"/>
        <s v="Week 10"/>
        <s v="Week 11"/>
        <s v="Week 12"/>
        <s v="Week 13"/>
      </sharedItems>
    </cacheField>
    <cacheField name="Date Range" numFmtId="0">
      <sharedItems/>
    </cacheField>
    <cacheField name="Beginning" numFmtId="4">
      <sharedItems containsSemiMixedTypes="0" containsString="0" containsNumber="1" containsInteger="1" minValue="9500" maxValue="85000"/>
    </cacheField>
    <cacheField name="Cash In" numFmtId="3">
      <sharedItems containsSemiMixedTypes="0" containsString="0" containsNumber="1" containsInteger="1" minValue="3760" maxValue="31000"/>
    </cacheField>
    <cacheField name="Cash Out" numFmtId="3">
      <sharedItems containsSemiMixedTypes="0" containsString="0" containsNumber="1" containsInteger="1" minValue="14800" maxValue="30860"/>
    </cacheField>
    <cacheField name="Net Cash Flow" numFmtId="3">
      <sharedItems containsSemiMixedTypes="0" containsString="0" containsNumber="1" containsInteger="1" minValue="-17700" maxValue="7100"/>
    </cacheField>
    <cacheField name="Ending" numFmtId="3">
      <sharedItems containsSemiMixedTypes="0" containsString="0" containsNumber="1" containsInteger="1" minValue="9500" maxValue="76920"/>
    </cacheField>
  </cacheFields>
  <extLst>
    <ext xmlns:x14="http://schemas.microsoft.com/office/spreadsheetml/2009/9/main" uri="{725AE2AE-9491-48be-B2B4-4EB974FC3084}">
      <x14:pivotCacheDefinition pivotCacheId="1347640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r>
  <r>
    <x v="1"/>
    <x v="1"/>
  </r>
  <r>
    <x v="2"/>
    <x v="2"/>
  </r>
  <r>
    <x v="3"/>
    <x v="3"/>
  </r>
  <r>
    <x v="4"/>
    <x v="4"/>
  </r>
  <r>
    <x v="5"/>
    <x v="5"/>
  </r>
  <r>
    <x v="6"/>
    <x v="6"/>
  </r>
  <r>
    <x v="7"/>
    <x v="7"/>
  </r>
  <r>
    <x v="8"/>
    <x v="8"/>
  </r>
  <r>
    <x v="9"/>
    <x v="9"/>
  </r>
  <r>
    <x v="10"/>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s v="Dec 01 - Dec 07, 2026"/>
    <n v="85000"/>
    <n v="22000"/>
    <n v="30860"/>
    <n v="-8860"/>
    <n v="76140"/>
  </r>
  <r>
    <x v="1"/>
    <s v="Dec 08 - Dec 14, 2026"/>
    <n v="76140"/>
    <n v="16000"/>
    <n v="15220"/>
    <n v="780"/>
    <n v="76920"/>
  </r>
  <r>
    <x v="2"/>
    <s v="Dec 15 - Dec 21, 2026"/>
    <n v="76920"/>
    <n v="12000"/>
    <n v="24600"/>
    <n v="-12600"/>
    <n v="64320"/>
  </r>
  <r>
    <x v="3"/>
    <s v="Dec 22 - Dec 28, 2026"/>
    <n v="64320"/>
    <n v="4000"/>
    <n v="14800"/>
    <n v="-10800"/>
    <n v="53520"/>
  </r>
  <r>
    <x v="4"/>
    <s v="Dec 29 - Jan 04, 2027"/>
    <n v="53520"/>
    <n v="16000"/>
    <n v="30860"/>
    <n v="-14860"/>
    <n v="38660"/>
  </r>
  <r>
    <x v="5"/>
    <s v="Jan 05 - Jan 11, 2027"/>
    <n v="38660"/>
    <n v="3760"/>
    <n v="15220"/>
    <n v="-11460"/>
    <n v="27200"/>
  </r>
  <r>
    <x v="6"/>
    <s v="Jan 12 - Jan 18, 2027"/>
    <n v="27200"/>
    <n v="6000"/>
    <n v="23700"/>
    <n v="-17700"/>
    <n v="9500"/>
  </r>
  <r>
    <x v="7"/>
    <s v="Jan 19 - Jan 25, 2027"/>
    <n v="9500"/>
    <n v="24000"/>
    <n v="16900"/>
    <n v="7100"/>
    <n v="16600"/>
  </r>
  <r>
    <x v="8"/>
    <s v="Jan 26 - Feb 01, 2027"/>
    <n v="16600"/>
    <n v="31000"/>
    <n v="30860"/>
    <n v="140"/>
    <n v="16740"/>
  </r>
  <r>
    <x v="9"/>
    <s v="Feb 02 - Feb 08, 2027"/>
    <n v="16740"/>
    <n v="16000"/>
    <n v="14800"/>
    <n v="1200"/>
    <n v="17940"/>
  </r>
  <r>
    <x v="10"/>
    <s v="Feb 09 - Feb 15, 2027"/>
    <n v="17940"/>
    <n v="24000"/>
    <n v="22920"/>
    <n v="1080"/>
    <n v="19020"/>
  </r>
  <r>
    <x v="11"/>
    <s v="Feb 16 - Feb 22, 2027"/>
    <n v="19020"/>
    <n v="16000"/>
    <n v="16900"/>
    <n v="-900"/>
    <n v="18120"/>
  </r>
  <r>
    <x v="12"/>
    <s v="Feb 23 - Mar 01, 2027"/>
    <n v="18120"/>
    <n v="20000"/>
    <n v="19300"/>
    <n v="700"/>
    <n v="188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2E76A4-EB19-40C0-87C9-EE92E2ABE3F4}" name="PivotTable3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16" firstHeaderRow="0" firstDataRow="1" firstDataCol="1"/>
  <pivotFields count="7">
    <pivotField axis="axisRow" showAll="0">
      <items count="14">
        <item x="0"/>
        <item x="1"/>
        <item x="2"/>
        <item x="3"/>
        <item x="4"/>
        <item x="5"/>
        <item x="6"/>
        <item x="7"/>
        <item x="8"/>
        <item x="9"/>
        <item x="10"/>
        <item x="11"/>
        <item x="12"/>
        <item t="default"/>
      </items>
    </pivotField>
    <pivotField showAll="0"/>
    <pivotField numFmtId="4" showAll="0"/>
    <pivotField dataField="1" numFmtId="3" showAll="0"/>
    <pivotField dataField="1" showAll="0"/>
    <pivotField numFmtId="3" showAll="0"/>
    <pivotField numFmtId="3"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Cash In" fld="3" baseField="0" baseItem="0" numFmtId="3"/>
    <dataField name="Sum of Cash Out" fld="4" baseField="0" baseItem="0"/>
  </dataFields>
  <formats count="8">
    <format dxfId="7">
      <pivotArea collapsedLevelsAreSubtotals="1" fieldPosition="0">
        <references count="1">
          <reference field="0" count="0"/>
        </references>
      </pivotArea>
    </format>
    <format dxfId="6">
      <pivotArea grandRow="1" outline="0" collapsedLevelsAreSubtotals="1" fieldPosition="0"/>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06C3A-1486-4AAB-B226-29636604A5F0}"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P4:P5" firstHeaderRow="1" firstDataRow="1" firstDataCol="0" rowPageCount="1" colPageCount="1"/>
  <pivotFields count="2">
    <pivotField axis="axisPage" multipleItemSelectionAllowed="1" showAll="0">
      <items count="12">
        <item h="1" x="3"/>
        <item h="1" x="2"/>
        <item h="1" x="5"/>
        <item h="1" x="6"/>
        <item x="1"/>
        <item h="1" x="0"/>
        <item h="1" x="7"/>
        <item h="1" x="9"/>
        <item h="1" x="8"/>
        <item h="1" x="10"/>
        <item h="1" x="4"/>
        <item t="default"/>
      </items>
    </pivotField>
    <pivotField dataField="1" numFmtId="3" showAll="0">
      <items count="12">
        <item x="9"/>
        <item x="10"/>
        <item x="8"/>
        <item x="4"/>
        <item x="3"/>
        <item x="7"/>
        <item x="2"/>
        <item x="1"/>
        <item x="6"/>
        <item x="5"/>
        <item x="0"/>
        <item t="default"/>
      </items>
    </pivotField>
  </pivotFields>
  <rowItems count="1">
    <i/>
  </rowItems>
  <colItems count="1">
    <i/>
  </colItems>
  <pageFields count="1">
    <pageField fld="0" hier="-1"/>
  </pageFields>
  <dataFields count="1">
    <dataField name="Sum of Total" fld="1" baseField="0" baseItem="0" numFmtId="3"/>
  </dataFields>
  <formats count="5">
    <format dxfId="12">
      <pivotArea collapsedLevelsAreSubtotals="1" fieldPosition="0">
        <references count="1">
          <reference field="0" count="0"/>
        </references>
      </pivotArea>
    </format>
    <format dxfId="11">
      <pivotArea collapsedLevelsAreSubtotals="1" fieldPosition="0">
        <references count="1">
          <reference field="0" count="0"/>
        </references>
      </pivotArea>
    </format>
    <format dxfId="10">
      <pivotArea type="all" dataOnly="0" outline="0" fieldPosition="0"/>
    </format>
    <format dxfId="9">
      <pivotArea outline="0" collapsedLevelsAreSubtotals="1" fieldPosition="0"/>
    </format>
    <format dxfId="8">
      <pivotArea dataOnly="0" labelOnly="1" outline="0" axis="axisValues" fieldPosition="0"/>
    </format>
  </formats>
  <chartFormats count="13">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5"/>
          </reference>
        </references>
      </pivotArea>
    </chartFormat>
    <chartFormat chart="8" format="4">
      <pivotArea type="data" outline="0" fieldPosition="0">
        <references count="2">
          <reference field="4294967294" count="1" selected="0">
            <x v="0"/>
          </reference>
          <reference field="0" count="1" selected="0">
            <x v="4"/>
          </reference>
        </references>
      </pivotArea>
    </chartFormat>
    <chartFormat chart="8" format="5">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2">
          <reference field="4294967294" count="1" selected="0">
            <x v="0"/>
          </reference>
          <reference field="0" count="1" selected="0">
            <x v="2"/>
          </reference>
        </references>
      </pivotArea>
    </chartFormat>
    <chartFormat chart="8" format="7">
      <pivotArea type="data" outline="0" fieldPosition="0">
        <references count="2">
          <reference field="4294967294" count="1" selected="0">
            <x v="0"/>
          </reference>
          <reference field="0" count="1" selected="0">
            <x v="3"/>
          </reference>
        </references>
      </pivotArea>
    </chartFormat>
    <chartFormat chart="8" format="8">
      <pivotArea type="data" outline="0" fieldPosition="0">
        <references count="2">
          <reference field="4294967294" count="1" selected="0">
            <x v="0"/>
          </reference>
          <reference field="0" count="1" selected="0">
            <x v="7"/>
          </reference>
        </references>
      </pivotArea>
    </chartFormat>
    <chartFormat chart="8" format="9">
      <pivotArea type="data" outline="0" fieldPosition="0">
        <references count="2">
          <reference field="4294967294" count="1" selected="0">
            <x v="0"/>
          </reference>
          <reference field="0" count="1" selected="0">
            <x v="9"/>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6"/>
          </reference>
        </references>
      </pivotArea>
    </chartFormat>
    <chartFormat chart="8" format="12">
      <pivotArea type="data" outline="0" fieldPosition="0">
        <references count="2">
          <reference field="4294967294" count="1" selected="0">
            <x v="0"/>
          </reference>
          <reference field="0" count="1" selected="0">
            <x v="8"/>
          </reference>
        </references>
      </pivotArea>
    </chartFormat>
    <chartFormat chart="8" format="13">
      <pivotArea type="data" outline="0" fieldPosition="0">
        <references count="2">
          <reference field="4294967294" count="1" selected="0">
            <x v="0"/>
          </reference>
          <reference field="0" count="1" selected="0">
            <x v="10"/>
          </reference>
        </references>
      </pivotArea>
    </chartFormat>
    <chartFormat chart="8" format="1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1F4062-0CC7-46AD-91FF-6A73B3919F74}" name="PivotTable3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2:K16" firstHeaderRow="1" firstDataRow="1" firstDataCol="1"/>
  <pivotFields count="7">
    <pivotField axis="axisRow" showAll="0">
      <items count="14">
        <item x="0"/>
        <item x="1"/>
        <item x="2"/>
        <item x="3"/>
        <item x="4"/>
        <item x="5"/>
        <item x="6"/>
        <item x="7"/>
        <item x="8"/>
        <item x="9"/>
        <item x="10"/>
        <item x="11"/>
        <item x="12"/>
        <item t="default"/>
      </items>
    </pivotField>
    <pivotField showAll="0"/>
    <pivotField numFmtId="4" showAll="0"/>
    <pivotField numFmtId="3" showAll="0"/>
    <pivotField showAll="0"/>
    <pivotField dataField="1" numFmtId="3" showAll="0"/>
    <pivotField numFmtId="3" showAll="0"/>
  </pivotFields>
  <rowFields count="1">
    <field x="0"/>
  </rowFields>
  <rowItems count="14">
    <i>
      <x/>
    </i>
    <i>
      <x v="1"/>
    </i>
    <i>
      <x v="2"/>
    </i>
    <i>
      <x v="3"/>
    </i>
    <i>
      <x v="4"/>
    </i>
    <i>
      <x v="5"/>
    </i>
    <i>
      <x v="6"/>
    </i>
    <i>
      <x v="7"/>
    </i>
    <i>
      <x v="8"/>
    </i>
    <i>
      <x v="9"/>
    </i>
    <i>
      <x v="10"/>
    </i>
    <i>
      <x v="11"/>
    </i>
    <i>
      <x v="12"/>
    </i>
    <i t="grand">
      <x/>
    </i>
  </rowItems>
  <colItems count="1">
    <i/>
  </colItems>
  <dataFields count="1">
    <dataField name="Sum of Net Cash Flow" fld="5" baseField="0" baseItem="0" numFmtId="3"/>
  </dataFields>
  <formats count="7">
    <format dxfId="19">
      <pivotArea collapsedLevelsAreSubtotals="1" fieldPosition="0">
        <references count="1">
          <reference field="0" count="0"/>
        </references>
      </pivotArea>
    </format>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45A130-AF2C-404D-9E32-96B787A3B9A1}" name="PivotTable3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2:H16" firstHeaderRow="0" firstDataRow="1" firstDataCol="1"/>
  <pivotFields count="7">
    <pivotField axis="axisRow" showAll="0">
      <items count="14">
        <item x="0"/>
        <item x="1"/>
        <item x="2"/>
        <item x="3"/>
        <item x="4"/>
        <item x="5"/>
        <item x="6"/>
        <item x="7"/>
        <item x="8"/>
        <item x="9"/>
        <item x="10"/>
        <item x="11"/>
        <item x="12"/>
        <item t="default"/>
      </items>
    </pivotField>
    <pivotField showAll="0"/>
    <pivotField dataField="1" numFmtId="4" showAll="0"/>
    <pivotField numFmtId="3" showAll="0"/>
    <pivotField showAll="0"/>
    <pivotField numFmtId="3" showAll="0"/>
    <pivotField dataField="1" numFmtId="3"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Beginning Balance" fld="2" baseField="0" baseItem="0" numFmtId="4"/>
    <dataField name="Ending Balance" fld="6" baseField="0" baseItem="0" numFmtId="3"/>
  </dataFields>
  <formats count="7">
    <format dxfId="26">
      <pivotArea collapsedLevelsAreSubtotals="1" fieldPosition="0">
        <references count="1">
          <reference field="0" count="0"/>
        </references>
      </pivotArea>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DC317EB8-8454-48D0-A6CC-EAA651BA8BFE}" sourceName="Week">
  <pivotTables>
    <pivotTable tabId="12" name="PivotTable39"/>
    <pivotTable tabId="12" name="PivotTable37"/>
    <pivotTable tabId="12" name="PivotTable38"/>
  </pivotTables>
  <data>
    <tabular pivotCacheId="1347640792">
      <items count="13">
        <i x="0" s="1"/>
        <i x="1" s="1"/>
        <i x="2" s="1"/>
        <i x="3" s="1"/>
        <i x="4" s="1"/>
        <i x="5" s="1"/>
        <i x="6" s="1"/>
        <i x="7" s="1"/>
        <i x="8" s="1"/>
        <i x="9" s="1"/>
        <i x="1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Week" xr10:uid="{4273A08F-052F-4CC6-94E7-F401CD308A6B}" sourceName="Expense/Week">
  <pivotTables>
    <pivotTable tabId="12" name="PivotTable43"/>
  </pivotTables>
  <data>
    <tabular pivotCacheId="85252806">
      <items count="11">
        <i x="3"/>
        <i x="2"/>
        <i x="5"/>
        <i x="6"/>
        <i x="1" s="1"/>
        <i x="0"/>
        <i x="7"/>
        <i x="9"/>
        <i x="8"/>
        <i x="1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xr10:uid="{C56242C9-5A71-4C0C-B30C-D4DECAAC553A}" cache="Slicer_Week" caption="Week" columnCount="7" showCaption="0" rowHeight="234950"/>
  <slicer name="Expense/Week" xr10:uid="{3C6FE584-6A5D-498E-9DA0-6D35D77A0E1E}" cache="Slicer_Expense_Week" caption="Expense/Week"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5E8F5D-2E89-4951-80C0-3942C210D936}" name="dataset" displayName="dataset" ref="A3:G16" totalsRowShown="0" headerRowDxfId="38" dataDxfId="36" headerRowBorderDxfId="37" tableBorderDxfId="35" totalsRowBorderDxfId="34">
  <autoFilter ref="A3:G16" xr:uid="{485E8F5D-2E89-4951-80C0-3942C210D936}"/>
  <tableColumns count="7">
    <tableColumn id="1" xr3:uid="{1B70B172-A9F5-40F6-B315-E2465C7D9917}" name="Week" dataDxfId="33"/>
    <tableColumn id="2" xr3:uid="{E1B9FC8B-31E0-4D18-B1DA-7EE644672DAC}" name="Date Range" dataDxfId="32"/>
    <tableColumn id="3" xr3:uid="{F612341B-9341-43F8-83B5-593506DD3853}" name="Beginning" dataDxfId="31"/>
    <tableColumn id="4" xr3:uid="{3C5AEDE2-005E-4A4E-A305-C10FD144EDBB}" name="Cash In" dataDxfId="30">
      <calculatedColumnFormula>'Cash Inflow'!D3</calculatedColumnFormula>
    </tableColumn>
    <tableColumn id="5" xr3:uid="{CA6EB166-5633-4A3C-BDE9-E635CE462F50}" name="Cash Out" dataDxfId="29" dataCellStyle="Comma">
      <calculatedColumnFormula>'Cash Outflow '!B19</calculatedColumnFormula>
    </tableColumn>
    <tableColumn id="6" xr3:uid="{7E8072B2-9A41-4CCA-98E9-9B2B767B1AD4}" name="Net Cash Flow" dataDxfId="28">
      <calculatedColumnFormula>D4-E4</calculatedColumnFormula>
    </tableColumn>
    <tableColumn id="7" xr3:uid="{2A73D257-878F-44E3-AA95-52A17C8EF7D5}" name="Ending" dataDxfId="27">
      <calculatedColumnFormula>C4+F4</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A670D51-D134-4A0E-9877-B64F350ADA7E}">
  <we:reference id="wa200009404" version="1.0.0.8" store="en-US" storeType="OMEX"/>
  <we:alternateReferences>
    <we:reference id="WA200009404" version="1.0.0.8" store="" storeType="OMEX"/>
  </we:alternateReferences>
  <we:properties>
    <we:property name="claude.fileId" value="&quot;4b2a1c39-6b87-4058-b84a-263d93044f5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F72B4-0C31-44F7-AB0F-9B0E8964F8EF}">
  <sheetPr>
    <tabColor theme="3"/>
  </sheetPr>
  <dimension ref="A1:U34"/>
  <sheetViews>
    <sheetView tabSelected="1" zoomScale="83" workbookViewId="0">
      <selection activeCell="B6" sqref="B6"/>
    </sheetView>
  </sheetViews>
  <sheetFormatPr defaultColWidth="0" defaultRowHeight="13.8" zeroHeight="1" x14ac:dyDescent="0.25"/>
  <cols>
    <col min="1" max="21" width="8.88671875" style="7" customWidth="1"/>
    <col min="22" max="16384" width="8.88671875" style="7" hidden="1"/>
  </cols>
  <sheetData>
    <row r="1" x14ac:dyDescent="0.25"/>
    <row r="2" x14ac:dyDescent="0.25"/>
    <row r="3" x14ac:dyDescent="0.25"/>
    <row r="4" x14ac:dyDescent="0.25"/>
    <row r="5" x14ac:dyDescent="0.25"/>
    <row r="6" x14ac:dyDescent="0.25"/>
    <row r="7" ht="16.8" customHeight="1" x14ac:dyDescent="0.25"/>
    <row r="8" x14ac:dyDescent="0.25"/>
    <row r="9" x14ac:dyDescent="0.25"/>
    <row r="10" x14ac:dyDescent="0.25"/>
    <row r="11" x14ac:dyDescent="0.25"/>
    <row r="12" x14ac:dyDescent="0.25"/>
    <row r="13" x14ac:dyDescent="0.25"/>
    <row r="14" x14ac:dyDescent="0.25"/>
    <row r="15" x14ac:dyDescent="0.25"/>
    <row r="16" x14ac:dyDescent="0.25"/>
    <row r="17" s="7" customFormat="1" x14ac:dyDescent="0.25"/>
    <row r="18" s="7" customFormat="1" x14ac:dyDescent="0.25"/>
    <row r="19" s="7" customFormat="1" x14ac:dyDescent="0.25"/>
    <row r="20" s="7" customFormat="1" x14ac:dyDescent="0.25"/>
    <row r="21" s="7" customFormat="1" x14ac:dyDescent="0.25"/>
    <row r="22" s="7" customFormat="1" x14ac:dyDescent="0.25"/>
    <row r="23" s="7" customFormat="1" x14ac:dyDescent="0.25"/>
    <row r="24" s="7" customFormat="1" x14ac:dyDescent="0.25"/>
    <row r="25" s="7" customFormat="1" x14ac:dyDescent="0.25"/>
    <row r="26" s="7" customFormat="1" x14ac:dyDescent="0.25"/>
    <row r="27" s="7" customFormat="1" x14ac:dyDescent="0.25"/>
    <row r="28" s="7" customFormat="1" x14ac:dyDescent="0.25"/>
    <row r="29" s="7" customFormat="1" x14ac:dyDescent="0.25"/>
    <row r="30" s="7" customFormat="1" x14ac:dyDescent="0.25"/>
    <row r="31" s="7" customFormat="1" x14ac:dyDescent="0.25"/>
    <row r="32" s="7" customFormat="1" x14ac:dyDescent="0.25"/>
    <row r="33" s="7" customFormat="1" x14ac:dyDescent="0.25"/>
    <row r="34" s="7"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G26"/>
  <sheetViews>
    <sheetView showGridLines="0" zoomScale="113" zoomScaleNormal="100" workbookViewId="0">
      <selection activeCell="C19" sqref="C19"/>
    </sheetView>
  </sheetViews>
  <sheetFormatPr defaultColWidth="8.6640625" defaultRowHeight="14.4" x14ac:dyDescent="0.3"/>
  <cols>
    <col min="2" max="2" width="19.109375" customWidth="1"/>
    <col min="3" max="3" width="25.44140625" customWidth="1"/>
    <col min="4" max="6" width="16" customWidth="1"/>
    <col min="7" max="7" width="18" customWidth="1"/>
    <col min="8" max="8" width="16" customWidth="1"/>
    <col min="12" max="12" width="8.6640625" customWidth="1"/>
  </cols>
  <sheetData>
    <row r="1" spans="1:7" ht="25.5" customHeight="1" x14ac:dyDescent="0.3">
      <c r="A1" s="54" t="s">
        <v>139</v>
      </c>
      <c r="B1" s="54"/>
      <c r="C1" s="54"/>
      <c r="D1" s="54"/>
      <c r="E1" s="54"/>
      <c r="F1" s="54"/>
      <c r="G1" s="54"/>
    </row>
    <row r="3" spans="1:7" ht="30" customHeight="1" x14ac:dyDescent="0.3">
      <c r="A3" s="9" t="s">
        <v>15</v>
      </c>
      <c r="B3" s="9" t="s">
        <v>16</v>
      </c>
      <c r="C3" s="10" t="s">
        <v>135</v>
      </c>
      <c r="D3" s="10" t="s">
        <v>136</v>
      </c>
      <c r="E3" s="9" t="s">
        <v>145</v>
      </c>
      <c r="F3" s="10" t="s">
        <v>137</v>
      </c>
      <c r="G3" s="10" t="s">
        <v>138</v>
      </c>
    </row>
    <row r="4" spans="1:7" x14ac:dyDescent="0.3">
      <c r="A4" s="11" t="s">
        <v>147</v>
      </c>
      <c r="B4" s="12" t="s">
        <v>18</v>
      </c>
      <c r="C4" s="13">
        <v>85000</v>
      </c>
      <c r="D4" s="14">
        <f>'Cash Inflow'!D3</f>
        <v>22000</v>
      </c>
      <c r="E4" s="14">
        <f>'Cash Outflow '!B19</f>
        <v>30860</v>
      </c>
      <c r="F4" s="15">
        <f t="shared" ref="F4:F16" si="0">D4-E4</f>
        <v>-8860</v>
      </c>
      <c r="G4" s="15">
        <f>C4+F4</f>
        <v>76140</v>
      </c>
    </row>
    <row r="5" spans="1:7" x14ac:dyDescent="0.3">
      <c r="A5" s="11" t="s">
        <v>148</v>
      </c>
      <c r="B5" s="12" t="s">
        <v>19</v>
      </c>
      <c r="C5" s="16">
        <f>G4</f>
        <v>76140</v>
      </c>
      <c r="D5" s="14">
        <f>'Cash Inflow'!D4</f>
        <v>16000</v>
      </c>
      <c r="E5" s="14">
        <f>'Cash Outflow '!B20</f>
        <v>15220</v>
      </c>
      <c r="F5" s="15">
        <f t="shared" si="0"/>
        <v>780</v>
      </c>
      <c r="G5" s="15">
        <f t="shared" ref="G5:G16" si="1">C5+F5</f>
        <v>76920</v>
      </c>
    </row>
    <row r="6" spans="1:7" x14ac:dyDescent="0.3">
      <c r="A6" s="11" t="s">
        <v>149</v>
      </c>
      <c r="B6" s="12" t="s">
        <v>20</v>
      </c>
      <c r="C6" s="16">
        <f t="shared" ref="C6:C16" si="2">G5</f>
        <v>76920</v>
      </c>
      <c r="D6" s="14">
        <f>'Cash Inflow'!D5</f>
        <v>12000</v>
      </c>
      <c r="E6" s="14">
        <f>'Cash Outflow '!B21</f>
        <v>24600</v>
      </c>
      <c r="F6" s="15">
        <f t="shared" si="0"/>
        <v>-12600</v>
      </c>
      <c r="G6" s="15">
        <f t="shared" si="1"/>
        <v>64320</v>
      </c>
    </row>
    <row r="7" spans="1:7" x14ac:dyDescent="0.3">
      <c r="A7" s="11" t="s">
        <v>150</v>
      </c>
      <c r="B7" s="12" t="s">
        <v>21</v>
      </c>
      <c r="C7" s="16">
        <f t="shared" si="2"/>
        <v>64320</v>
      </c>
      <c r="D7" s="14">
        <f>'Cash Inflow'!D6</f>
        <v>4000</v>
      </c>
      <c r="E7" s="14">
        <f>'Cash Outflow '!B22</f>
        <v>14800</v>
      </c>
      <c r="F7" s="15">
        <f t="shared" si="0"/>
        <v>-10800</v>
      </c>
      <c r="G7" s="15">
        <f t="shared" si="1"/>
        <v>53520</v>
      </c>
    </row>
    <row r="8" spans="1:7" x14ac:dyDescent="0.3">
      <c r="A8" s="11" t="s">
        <v>151</v>
      </c>
      <c r="B8" s="12" t="s">
        <v>22</v>
      </c>
      <c r="C8" s="16">
        <f t="shared" si="2"/>
        <v>53520</v>
      </c>
      <c r="D8" s="14">
        <f>'Cash Inflow'!D7</f>
        <v>16000</v>
      </c>
      <c r="E8" s="14">
        <f>'Cash Outflow '!B23</f>
        <v>30860</v>
      </c>
      <c r="F8" s="15">
        <f t="shared" si="0"/>
        <v>-14860</v>
      </c>
      <c r="G8" s="15">
        <f t="shared" si="1"/>
        <v>38660</v>
      </c>
    </row>
    <row r="9" spans="1:7" x14ac:dyDescent="0.3">
      <c r="A9" s="11" t="s">
        <v>152</v>
      </c>
      <c r="B9" s="12" t="s">
        <v>23</v>
      </c>
      <c r="C9" s="16">
        <f t="shared" si="2"/>
        <v>38660</v>
      </c>
      <c r="D9" s="14">
        <f>'Cash Inflow'!D8</f>
        <v>3760</v>
      </c>
      <c r="E9" s="14">
        <f>'Cash Outflow '!B24</f>
        <v>15220</v>
      </c>
      <c r="F9" s="15">
        <f t="shared" si="0"/>
        <v>-11460</v>
      </c>
      <c r="G9" s="15">
        <f t="shared" si="1"/>
        <v>27200</v>
      </c>
    </row>
    <row r="10" spans="1:7" x14ac:dyDescent="0.3">
      <c r="A10" s="11" t="s">
        <v>153</v>
      </c>
      <c r="B10" s="12" t="s">
        <v>24</v>
      </c>
      <c r="C10" s="16">
        <f t="shared" si="2"/>
        <v>27200</v>
      </c>
      <c r="D10" s="14">
        <f>'Cash Inflow'!D9</f>
        <v>6000</v>
      </c>
      <c r="E10" s="14">
        <f>'Cash Outflow '!B25</f>
        <v>23700</v>
      </c>
      <c r="F10" s="15">
        <f t="shared" si="0"/>
        <v>-17700</v>
      </c>
      <c r="G10" s="15">
        <f t="shared" si="1"/>
        <v>9500</v>
      </c>
    </row>
    <row r="11" spans="1:7" x14ac:dyDescent="0.3">
      <c r="A11" s="11" t="s">
        <v>154</v>
      </c>
      <c r="B11" s="12" t="s">
        <v>25</v>
      </c>
      <c r="C11" s="16">
        <f t="shared" si="2"/>
        <v>9500</v>
      </c>
      <c r="D11" s="14">
        <f>'Cash Inflow'!D10</f>
        <v>24000</v>
      </c>
      <c r="E11" s="14">
        <f>'Cash Outflow '!B26</f>
        <v>16900</v>
      </c>
      <c r="F11" s="15">
        <f t="shared" si="0"/>
        <v>7100</v>
      </c>
      <c r="G11" s="15">
        <f t="shared" si="1"/>
        <v>16600</v>
      </c>
    </row>
    <row r="12" spans="1:7" x14ac:dyDescent="0.3">
      <c r="A12" s="11" t="s">
        <v>155</v>
      </c>
      <c r="B12" s="12" t="s">
        <v>26</v>
      </c>
      <c r="C12" s="16">
        <f t="shared" si="2"/>
        <v>16600</v>
      </c>
      <c r="D12" s="14">
        <f>'Cash Inflow'!D11</f>
        <v>31000</v>
      </c>
      <c r="E12" s="14">
        <f>'Cash Outflow '!B27</f>
        <v>30860</v>
      </c>
      <c r="F12" s="15">
        <f t="shared" si="0"/>
        <v>140</v>
      </c>
      <c r="G12" s="15">
        <f t="shared" si="1"/>
        <v>16740</v>
      </c>
    </row>
    <row r="13" spans="1:7" x14ac:dyDescent="0.3">
      <c r="A13" s="11" t="s">
        <v>27</v>
      </c>
      <c r="B13" s="12" t="s">
        <v>28</v>
      </c>
      <c r="C13" s="16">
        <f t="shared" si="2"/>
        <v>16740</v>
      </c>
      <c r="D13" s="14">
        <f>'Cash Inflow'!D12</f>
        <v>16000</v>
      </c>
      <c r="E13" s="14">
        <f>'Cash Outflow '!B28</f>
        <v>14800</v>
      </c>
      <c r="F13" s="15">
        <f t="shared" si="0"/>
        <v>1200</v>
      </c>
      <c r="G13" s="15">
        <f t="shared" si="1"/>
        <v>17940</v>
      </c>
    </row>
    <row r="14" spans="1:7" x14ac:dyDescent="0.3">
      <c r="A14" s="11" t="s">
        <v>29</v>
      </c>
      <c r="B14" s="12" t="s">
        <v>30</v>
      </c>
      <c r="C14" s="16">
        <f t="shared" si="2"/>
        <v>17940</v>
      </c>
      <c r="D14" s="14">
        <f>'Cash Inflow'!D13</f>
        <v>24000</v>
      </c>
      <c r="E14" s="14">
        <f>'Cash Outflow '!B29</f>
        <v>22920</v>
      </c>
      <c r="F14" s="15">
        <f t="shared" si="0"/>
        <v>1080</v>
      </c>
      <c r="G14" s="15">
        <f t="shared" si="1"/>
        <v>19020</v>
      </c>
    </row>
    <row r="15" spans="1:7" x14ac:dyDescent="0.3">
      <c r="A15" s="11" t="s">
        <v>31</v>
      </c>
      <c r="B15" s="12" t="s">
        <v>32</v>
      </c>
      <c r="C15" s="16">
        <f t="shared" si="2"/>
        <v>19020</v>
      </c>
      <c r="D15" s="14">
        <f>'Cash Inflow'!D14</f>
        <v>16000</v>
      </c>
      <c r="E15" s="14">
        <f>'Cash Outflow '!B30</f>
        <v>16900</v>
      </c>
      <c r="F15" s="15">
        <f t="shared" si="0"/>
        <v>-900</v>
      </c>
      <c r="G15" s="15">
        <f t="shared" si="1"/>
        <v>18120</v>
      </c>
    </row>
    <row r="16" spans="1:7" x14ac:dyDescent="0.3">
      <c r="A16" s="11" t="s">
        <v>33</v>
      </c>
      <c r="B16" s="12" t="s">
        <v>34</v>
      </c>
      <c r="C16" s="16">
        <f t="shared" si="2"/>
        <v>18120</v>
      </c>
      <c r="D16" s="14">
        <f>'Cash Inflow'!D15</f>
        <v>20000</v>
      </c>
      <c r="E16" s="14">
        <f>'Cash Outflow '!B31</f>
        <v>19300</v>
      </c>
      <c r="F16" s="15">
        <f t="shared" si="0"/>
        <v>700</v>
      </c>
      <c r="G16" s="15">
        <f t="shared" si="1"/>
        <v>18820</v>
      </c>
    </row>
    <row r="17" spans="3:7" x14ac:dyDescent="0.3">
      <c r="C17" s="40">
        <f>C4</f>
        <v>85000</v>
      </c>
      <c r="D17" s="40">
        <f>SUM(D4:D16)</f>
        <v>210760</v>
      </c>
      <c r="E17" s="40">
        <f>SUM(E4:E16)</f>
        <v>276940</v>
      </c>
      <c r="F17" s="40">
        <f>SUM(F4:F16)</f>
        <v>-66180</v>
      </c>
      <c r="G17" s="40">
        <f>G16</f>
        <v>18820</v>
      </c>
    </row>
    <row r="22" spans="3:7" ht="65.400000000000006" customHeight="1" x14ac:dyDescent="0.3"/>
    <row r="23" spans="3:7" ht="57" customHeight="1" x14ac:dyDescent="0.3"/>
    <row r="24" spans="3:7" ht="54" customHeight="1" x14ac:dyDescent="0.3"/>
    <row r="25" spans="3:7" ht="36" customHeight="1" x14ac:dyDescent="0.3"/>
    <row r="26" spans="3:7" ht="40.799999999999997" customHeight="1" x14ac:dyDescent="0.3"/>
  </sheetData>
  <mergeCells count="1">
    <mergeCell ref="A1:G1"/>
  </mergeCells>
  <phoneticPr fontId="16" type="noConversion"/>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26"/>
  <sheetViews>
    <sheetView showGridLines="0" zoomScaleNormal="100" workbookViewId="0">
      <selection activeCell="B4" sqref="B4:B15"/>
    </sheetView>
  </sheetViews>
  <sheetFormatPr defaultColWidth="8.6640625" defaultRowHeight="14.4" x14ac:dyDescent="0.3"/>
  <cols>
    <col min="1" max="1" width="3" customWidth="1"/>
    <col min="2" max="2" width="110" customWidth="1"/>
  </cols>
  <sheetData>
    <row r="1" spans="1:3" ht="25.5" customHeight="1" x14ac:dyDescent="0.3">
      <c r="A1" s="55" t="s">
        <v>172</v>
      </c>
      <c r="B1" s="55"/>
      <c r="C1" s="55"/>
    </row>
    <row r="2" spans="1:3" ht="18" customHeight="1" x14ac:dyDescent="0.3">
      <c r="A2" s="56" t="s">
        <v>0</v>
      </c>
      <c r="B2" s="56"/>
      <c r="C2" s="56"/>
    </row>
    <row r="4" spans="1:3" ht="21.75" customHeight="1" x14ac:dyDescent="0.3">
      <c r="B4" s="51" t="s">
        <v>128</v>
      </c>
    </row>
    <row r="5" spans="1:3" ht="31.5" customHeight="1" x14ac:dyDescent="0.3">
      <c r="B5" s="52" t="s">
        <v>173</v>
      </c>
    </row>
    <row r="6" spans="1:3" ht="31.5" customHeight="1" x14ac:dyDescent="0.3">
      <c r="B6" s="52" t="s">
        <v>159</v>
      </c>
    </row>
    <row r="7" spans="1:3" ht="21.75" customHeight="1" x14ac:dyDescent="0.3">
      <c r="B7" s="51" t="s">
        <v>129</v>
      </c>
    </row>
    <row r="8" spans="1:3" ht="31.5" customHeight="1" x14ac:dyDescent="0.3">
      <c r="B8" s="52" t="s">
        <v>163</v>
      </c>
    </row>
    <row r="9" spans="1:3" ht="31.5" customHeight="1" x14ac:dyDescent="0.3">
      <c r="B9" s="52" t="s">
        <v>164</v>
      </c>
    </row>
    <row r="10" spans="1:3" ht="31.5" customHeight="1" x14ac:dyDescent="0.3">
      <c r="B10" s="52" t="s">
        <v>165</v>
      </c>
    </row>
    <row r="11" spans="1:3" ht="21.75" customHeight="1" x14ac:dyDescent="0.3">
      <c r="B11" s="51" t="s">
        <v>130</v>
      </c>
    </row>
    <row r="12" spans="1:3" ht="31.5" customHeight="1" x14ac:dyDescent="0.3">
      <c r="B12" s="52" t="s">
        <v>131</v>
      </c>
    </row>
    <row r="13" spans="1:3" ht="21" customHeight="1" x14ac:dyDescent="0.3">
      <c r="B13" s="52" t="s">
        <v>132</v>
      </c>
    </row>
    <row r="14" spans="1:3" ht="31.5" customHeight="1" x14ac:dyDescent="0.3">
      <c r="B14" s="52" t="s">
        <v>133</v>
      </c>
    </row>
    <row r="15" spans="1:3" ht="31.5" customHeight="1" x14ac:dyDescent="0.3">
      <c r="B15" s="52" t="s">
        <v>134</v>
      </c>
    </row>
    <row r="16" spans="1:3" ht="31.5" customHeight="1" x14ac:dyDescent="0.3">
      <c r="B16" s="1"/>
    </row>
    <row r="17" spans="2:2" ht="21.75" customHeight="1" x14ac:dyDescent="0.3"/>
    <row r="18" spans="2:2" ht="31.5" customHeight="1" x14ac:dyDescent="0.3"/>
    <row r="19" spans="2:2" ht="31.5" customHeight="1" x14ac:dyDescent="0.3"/>
    <row r="20" spans="2:2" ht="58.2" customHeight="1" x14ac:dyDescent="0.3"/>
    <row r="21" spans="2:2" ht="31.5" customHeight="1" x14ac:dyDescent="0.3"/>
    <row r="22" spans="2:2" ht="43.8" customHeight="1" x14ac:dyDescent="0.3"/>
    <row r="23" spans="2:2" ht="31.5" customHeight="1" x14ac:dyDescent="0.3">
      <c r="B23" s="1"/>
    </row>
    <row r="24" spans="2:2" ht="31.5" customHeight="1" x14ac:dyDescent="0.3">
      <c r="B24" s="1"/>
    </row>
    <row r="25" spans="2:2" ht="31.5" customHeight="1" x14ac:dyDescent="0.3">
      <c r="B25" s="1"/>
    </row>
    <row r="26" spans="2:2" ht="31.5" customHeight="1" x14ac:dyDescent="0.3">
      <c r="B26" s="1"/>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5471B-1141-4D9F-8426-5EE64F517D9B}">
  <sheetPr>
    <tabColor rgb="FFFF0000"/>
  </sheetPr>
  <dimension ref="B2:B35"/>
  <sheetViews>
    <sheetView showGridLines="0" zoomScale="127" workbookViewId="0">
      <selection activeCell="B2" sqref="B2"/>
    </sheetView>
  </sheetViews>
  <sheetFormatPr defaultRowHeight="14.4" x14ac:dyDescent="0.3"/>
  <cols>
    <col min="2" max="2" width="88.88671875" customWidth="1"/>
  </cols>
  <sheetData>
    <row r="2" spans="2:2" ht="15.6" x14ac:dyDescent="0.3">
      <c r="B2" s="53" t="s">
        <v>166</v>
      </c>
    </row>
    <row r="3" spans="2:2" ht="46.2" customHeight="1" x14ac:dyDescent="0.3">
      <c r="B3" s="1" t="s">
        <v>169</v>
      </c>
    </row>
    <row r="4" spans="2:2" ht="64.2" customHeight="1" x14ac:dyDescent="0.3">
      <c r="B4" s="1" t="s">
        <v>167</v>
      </c>
    </row>
    <row r="5" spans="2:2" ht="71.400000000000006" customHeight="1" x14ac:dyDescent="0.3">
      <c r="B5" s="1" t="s">
        <v>170</v>
      </c>
    </row>
    <row r="6" spans="2:2" ht="78" customHeight="1" x14ac:dyDescent="0.3">
      <c r="B6" s="1" t="s">
        <v>171</v>
      </c>
    </row>
    <row r="7" spans="2:2" ht="31.2" x14ac:dyDescent="0.3">
      <c r="B7" s="39" t="s">
        <v>168</v>
      </c>
    </row>
    <row r="8" spans="2:2" x14ac:dyDescent="0.3">
      <c r="B8" s="8"/>
    </row>
    <row r="9" spans="2:2" x14ac:dyDescent="0.3">
      <c r="B9" s="8"/>
    </row>
    <row r="10" spans="2:2" x14ac:dyDescent="0.3">
      <c r="B10" s="8"/>
    </row>
    <row r="11" spans="2:2" x14ac:dyDescent="0.3">
      <c r="B11" s="8"/>
    </row>
    <row r="12" spans="2:2" x14ac:dyDescent="0.3">
      <c r="B12" s="8"/>
    </row>
    <row r="13" spans="2:2" x14ac:dyDescent="0.3">
      <c r="B13" s="8"/>
    </row>
    <row r="14" spans="2:2" x14ac:dyDescent="0.3">
      <c r="B14" s="8"/>
    </row>
    <row r="15" spans="2:2" x14ac:dyDescent="0.3">
      <c r="B15" s="8"/>
    </row>
    <row r="16" spans="2:2" x14ac:dyDescent="0.3">
      <c r="B16" s="8"/>
    </row>
    <row r="17" spans="2:2" x14ac:dyDescent="0.3">
      <c r="B17" s="8"/>
    </row>
    <row r="18" spans="2:2" x14ac:dyDescent="0.3">
      <c r="B18" s="8"/>
    </row>
    <row r="19" spans="2:2" x14ac:dyDescent="0.3">
      <c r="B19" s="8"/>
    </row>
    <row r="20" spans="2:2" x14ac:dyDescent="0.3">
      <c r="B20" s="8"/>
    </row>
    <row r="21" spans="2:2" x14ac:dyDescent="0.3">
      <c r="B21" s="8"/>
    </row>
    <row r="22" spans="2:2" x14ac:dyDescent="0.3">
      <c r="B22" s="8"/>
    </row>
    <row r="23" spans="2:2" x14ac:dyDescent="0.3">
      <c r="B23" s="8"/>
    </row>
    <row r="24" spans="2:2" x14ac:dyDescent="0.3">
      <c r="B24" s="8"/>
    </row>
    <row r="25" spans="2:2" x14ac:dyDescent="0.3">
      <c r="B25" s="8"/>
    </row>
    <row r="26" spans="2:2" x14ac:dyDescent="0.3">
      <c r="B26" s="8"/>
    </row>
    <row r="27" spans="2:2" x14ac:dyDescent="0.3">
      <c r="B27" s="8"/>
    </row>
    <row r="28" spans="2:2" x14ac:dyDescent="0.3">
      <c r="B28" s="8"/>
    </row>
    <row r="29" spans="2:2" x14ac:dyDescent="0.3">
      <c r="B29" s="8"/>
    </row>
    <row r="30" spans="2:2" x14ac:dyDescent="0.3">
      <c r="B30" s="8"/>
    </row>
    <row r="31" spans="2:2" x14ac:dyDescent="0.3">
      <c r="B31" s="8"/>
    </row>
    <row r="32" spans="2:2" x14ac:dyDescent="0.3">
      <c r="B32" s="8"/>
    </row>
    <row r="33" spans="2:2" x14ac:dyDescent="0.3">
      <c r="B33" s="8"/>
    </row>
    <row r="34" spans="2:2" x14ac:dyDescent="0.3">
      <c r="B34" s="8"/>
    </row>
    <row r="35" spans="2:2" x14ac:dyDescent="0.3">
      <c r="B35"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191E-F00D-4DA5-9F37-8CF19E93243C}">
  <sheetPr>
    <tabColor rgb="FFFFFF00"/>
  </sheetPr>
  <dimension ref="K15"/>
  <sheetViews>
    <sheetView showGridLines="0" workbookViewId="0">
      <selection activeCell="H17" sqref="H17"/>
    </sheetView>
  </sheetViews>
  <sheetFormatPr defaultRowHeight="14.4" x14ac:dyDescent="0.3"/>
  <sheetData>
    <row r="15" spans="11:11" x14ac:dyDescent="0.3">
      <c r="K15" t="s">
        <v>174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B10"/>
  <sheetViews>
    <sheetView showGridLines="0" zoomScaleNormal="100" workbookViewId="0">
      <selection activeCell="D18" sqref="D18"/>
    </sheetView>
  </sheetViews>
  <sheetFormatPr defaultColWidth="8.6640625" defaultRowHeight="13.8" x14ac:dyDescent="0.25"/>
  <cols>
    <col min="1" max="1" width="26" style="25" customWidth="1"/>
    <col min="2" max="2" width="24" style="25" customWidth="1"/>
    <col min="3" max="16384" width="8.6640625" style="25"/>
  </cols>
  <sheetData>
    <row r="1" spans="1:2" ht="25.5" customHeight="1" x14ac:dyDescent="0.25">
      <c r="A1" s="55" t="s">
        <v>1</v>
      </c>
      <c r="B1" s="55"/>
    </row>
    <row r="2" spans="1:2" ht="18" customHeight="1" x14ac:dyDescent="0.25">
      <c r="A2" s="56" t="s">
        <v>2</v>
      </c>
      <c r="B2" s="56"/>
    </row>
    <row r="4" spans="1:2" x14ac:dyDescent="0.25">
      <c r="A4" s="17" t="s">
        <v>3</v>
      </c>
      <c r="B4" s="18" t="s">
        <v>4</v>
      </c>
    </row>
    <row r="5" spans="1:2" x14ac:dyDescent="0.25">
      <c r="A5" s="17" t="s">
        <v>5</v>
      </c>
      <c r="B5" s="18" t="s">
        <v>6</v>
      </c>
    </row>
    <row r="6" spans="1:2" x14ac:dyDescent="0.25">
      <c r="A6" s="17" t="s">
        <v>7</v>
      </c>
      <c r="B6" s="18" t="s">
        <v>8</v>
      </c>
    </row>
    <row r="7" spans="1:2" x14ac:dyDescent="0.25">
      <c r="A7" s="17" t="s">
        <v>9</v>
      </c>
      <c r="B7" s="18" t="s">
        <v>10</v>
      </c>
    </row>
    <row r="8" spans="1:2" x14ac:dyDescent="0.25">
      <c r="A8" s="41" t="s">
        <v>11</v>
      </c>
      <c r="B8" s="42">
        <v>85000</v>
      </c>
    </row>
    <row r="9" spans="1:2" x14ac:dyDescent="0.25">
      <c r="A9" s="43"/>
      <c r="B9" s="43"/>
    </row>
    <row r="10" spans="1:2" x14ac:dyDescent="0.25">
      <c r="A10" s="2" t="s">
        <v>12</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F29"/>
  <sheetViews>
    <sheetView showGridLines="0" zoomScale="109" zoomScaleNormal="130" workbookViewId="0">
      <selection activeCell="A29" sqref="A29:F29"/>
    </sheetView>
  </sheetViews>
  <sheetFormatPr defaultColWidth="8.6640625" defaultRowHeight="13.8" x14ac:dyDescent="0.25"/>
  <cols>
    <col min="1" max="1" width="26" style="25" customWidth="1"/>
    <col min="2" max="2" width="16" style="25" customWidth="1"/>
    <col min="3" max="4" width="14" style="25" customWidth="1"/>
    <col min="5" max="5" width="13.5546875" style="25" customWidth="1"/>
    <col min="6" max="7" width="14" style="25" customWidth="1"/>
    <col min="8" max="8" width="12.44140625" style="25" customWidth="1"/>
    <col min="9" max="9" width="19.109375" style="25" customWidth="1"/>
    <col min="10" max="10" width="13.33203125" style="25" customWidth="1"/>
    <col min="11" max="11" width="21.44140625" style="25" customWidth="1"/>
    <col min="12" max="12" width="8.6640625" style="25"/>
    <col min="13" max="13" width="15.6640625" style="25" customWidth="1"/>
    <col min="14" max="16384" width="8.6640625" style="25"/>
  </cols>
  <sheetData>
    <row r="1" spans="1:6" ht="25.5" customHeight="1" x14ac:dyDescent="0.25">
      <c r="A1" s="55" t="s">
        <v>13</v>
      </c>
      <c r="B1" s="55"/>
      <c r="C1" s="55"/>
      <c r="D1" s="55"/>
      <c r="E1" s="55"/>
      <c r="F1" s="55"/>
    </row>
    <row r="2" spans="1:6" ht="18" customHeight="1" x14ac:dyDescent="0.25">
      <c r="A2" s="57" t="s">
        <v>14</v>
      </c>
      <c r="B2" s="57"/>
      <c r="C2" s="57"/>
      <c r="D2" s="57"/>
      <c r="E2" s="57"/>
      <c r="F2" s="57"/>
    </row>
    <row r="3" spans="1:6" ht="18" customHeight="1" x14ac:dyDescent="0.25"/>
    <row r="4" spans="1:6" ht="18" customHeight="1" x14ac:dyDescent="0.25">
      <c r="A4" s="9" t="s">
        <v>36</v>
      </c>
      <c r="B4" s="9" t="s">
        <v>37</v>
      </c>
      <c r="C4" s="9" t="s">
        <v>38</v>
      </c>
      <c r="D4" s="9" t="s">
        <v>39</v>
      </c>
      <c r="E4" s="9" t="s">
        <v>40</v>
      </c>
      <c r="F4" s="9" t="s">
        <v>41</v>
      </c>
    </row>
    <row r="5" spans="1:6" x14ac:dyDescent="0.25">
      <c r="A5" s="25" t="s">
        <v>42</v>
      </c>
      <c r="B5" s="25" t="s">
        <v>43</v>
      </c>
      <c r="C5" s="36">
        <v>46327</v>
      </c>
      <c r="D5" s="36">
        <v>46359</v>
      </c>
      <c r="E5" s="27">
        <v>8500</v>
      </c>
      <c r="F5" s="34" t="s">
        <v>44</v>
      </c>
    </row>
    <row r="6" spans="1:6" x14ac:dyDescent="0.25">
      <c r="A6" s="25" t="s">
        <v>45</v>
      </c>
      <c r="B6" s="25" t="s">
        <v>46</v>
      </c>
      <c r="C6" s="36">
        <v>46331</v>
      </c>
      <c r="D6" s="36">
        <v>46361</v>
      </c>
      <c r="E6" s="27">
        <v>6200</v>
      </c>
      <c r="F6" s="34" t="s">
        <v>44</v>
      </c>
    </row>
    <row r="7" spans="1:6" x14ac:dyDescent="0.25">
      <c r="A7" s="25" t="s">
        <v>48</v>
      </c>
      <c r="B7" s="25" t="s">
        <v>49</v>
      </c>
      <c r="C7" s="36">
        <v>46333</v>
      </c>
      <c r="D7" s="36">
        <v>46363</v>
      </c>
      <c r="E7" s="27">
        <v>7300</v>
      </c>
      <c r="F7" s="34" t="s">
        <v>44</v>
      </c>
    </row>
    <row r="8" spans="1:6" ht="30" customHeight="1" x14ac:dyDescent="0.25">
      <c r="A8" s="25" t="s">
        <v>50</v>
      </c>
      <c r="B8" s="25" t="s">
        <v>51</v>
      </c>
      <c r="C8" s="36">
        <v>46320</v>
      </c>
      <c r="D8" s="36">
        <v>46365</v>
      </c>
      <c r="E8" s="27">
        <v>9000</v>
      </c>
      <c r="F8" s="34" t="s">
        <v>52</v>
      </c>
    </row>
    <row r="9" spans="1:6" x14ac:dyDescent="0.25">
      <c r="A9" s="25" t="s">
        <v>53</v>
      </c>
      <c r="B9" s="25" t="s">
        <v>54</v>
      </c>
      <c r="C9" s="36">
        <v>46338</v>
      </c>
      <c r="D9" s="36">
        <v>46368</v>
      </c>
      <c r="E9" s="27">
        <v>7000</v>
      </c>
      <c r="F9" s="34" t="s">
        <v>44</v>
      </c>
    </row>
    <row r="10" spans="1:6" x14ac:dyDescent="0.25">
      <c r="A10" s="25" t="s">
        <v>55</v>
      </c>
      <c r="B10" s="25" t="s">
        <v>56</v>
      </c>
      <c r="C10" s="36">
        <v>46342</v>
      </c>
      <c r="D10" s="36">
        <v>46372</v>
      </c>
      <c r="E10" s="27">
        <v>7000</v>
      </c>
      <c r="F10" s="34" t="s">
        <v>44</v>
      </c>
    </row>
    <row r="11" spans="1:6" x14ac:dyDescent="0.25">
      <c r="A11" s="25" t="s">
        <v>57</v>
      </c>
      <c r="B11" s="25" t="s">
        <v>58</v>
      </c>
      <c r="C11" s="36">
        <v>46347</v>
      </c>
      <c r="D11" s="36">
        <v>46375</v>
      </c>
      <c r="E11" s="27">
        <v>5000</v>
      </c>
      <c r="F11" s="34" t="s">
        <v>44</v>
      </c>
    </row>
    <row r="12" spans="1:6" x14ac:dyDescent="0.25">
      <c r="A12" s="25" t="s">
        <v>59</v>
      </c>
      <c r="B12" s="25" t="s">
        <v>60</v>
      </c>
      <c r="C12" s="36">
        <v>46348</v>
      </c>
      <c r="D12" s="36">
        <v>46380</v>
      </c>
      <c r="E12" s="27">
        <v>4000</v>
      </c>
      <c r="F12" s="34" t="s">
        <v>44</v>
      </c>
    </row>
    <row r="13" spans="1:6" x14ac:dyDescent="0.25">
      <c r="A13" s="25" t="s">
        <v>61</v>
      </c>
      <c r="B13" s="25" t="s">
        <v>62</v>
      </c>
      <c r="C13" s="36">
        <v>46355</v>
      </c>
      <c r="D13" s="36">
        <v>46387</v>
      </c>
      <c r="E13" s="27">
        <v>9500</v>
      </c>
      <c r="F13" s="34" t="s">
        <v>44</v>
      </c>
    </row>
    <row r="14" spans="1:6" x14ac:dyDescent="0.25">
      <c r="A14" s="25" t="s">
        <v>63</v>
      </c>
      <c r="B14" s="25" t="s">
        <v>64</v>
      </c>
      <c r="C14" s="36">
        <v>46357</v>
      </c>
      <c r="D14" s="36">
        <v>46389</v>
      </c>
      <c r="E14" s="27">
        <v>6500</v>
      </c>
      <c r="F14" s="34" t="s">
        <v>66</v>
      </c>
    </row>
    <row r="15" spans="1:6" x14ac:dyDescent="0.25">
      <c r="A15" s="25" t="s">
        <v>42</v>
      </c>
      <c r="B15" s="25" t="s">
        <v>67</v>
      </c>
      <c r="C15" s="36">
        <v>46361</v>
      </c>
      <c r="D15" s="36">
        <v>46394</v>
      </c>
      <c r="E15" s="27">
        <v>3760</v>
      </c>
      <c r="F15" s="34" t="s">
        <v>66</v>
      </c>
    </row>
    <row r="16" spans="1:6" x14ac:dyDescent="0.25">
      <c r="A16" s="25" t="s">
        <v>48</v>
      </c>
      <c r="B16" s="25" t="s">
        <v>68</v>
      </c>
      <c r="C16" s="36">
        <v>46371</v>
      </c>
      <c r="D16" s="36">
        <v>46401</v>
      </c>
      <c r="E16" s="27">
        <v>6000</v>
      </c>
      <c r="F16" s="34" t="s">
        <v>66</v>
      </c>
    </row>
    <row r="17" spans="1:6" x14ac:dyDescent="0.25">
      <c r="A17" s="25" t="s">
        <v>50</v>
      </c>
      <c r="B17" s="25" t="s">
        <v>70</v>
      </c>
      <c r="C17" s="36">
        <v>46375</v>
      </c>
      <c r="D17" s="36">
        <v>46408</v>
      </c>
      <c r="E17" s="27">
        <v>14000</v>
      </c>
      <c r="F17" s="34" t="s">
        <v>66</v>
      </c>
    </row>
    <row r="18" spans="1:6" x14ac:dyDescent="0.25">
      <c r="A18" s="25" t="s">
        <v>53</v>
      </c>
      <c r="B18" s="25" t="s">
        <v>71</v>
      </c>
      <c r="C18" s="36">
        <v>46376</v>
      </c>
      <c r="D18" s="36">
        <v>46410</v>
      </c>
      <c r="E18" s="27">
        <v>10000</v>
      </c>
      <c r="F18" s="34" t="s">
        <v>66</v>
      </c>
    </row>
    <row r="19" spans="1:6" x14ac:dyDescent="0.25">
      <c r="A19" s="25" t="s">
        <v>55</v>
      </c>
      <c r="B19" s="25" t="s">
        <v>73</v>
      </c>
      <c r="C19" s="36">
        <v>46384</v>
      </c>
      <c r="D19" s="36">
        <v>46415</v>
      </c>
      <c r="E19" s="27">
        <v>18000</v>
      </c>
      <c r="F19" s="34" t="s">
        <v>66</v>
      </c>
    </row>
    <row r="20" spans="1:6" x14ac:dyDescent="0.25">
      <c r="A20" s="25" t="s">
        <v>57</v>
      </c>
      <c r="B20" s="25" t="s">
        <v>74</v>
      </c>
      <c r="C20" s="36">
        <v>46385</v>
      </c>
      <c r="D20" s="36">
        <v>46417</v>
      </c>
      <c r="E20" s="27">
        <v>13000</v>
      </c>
      <c r="F20" s="34" t="s">
        <v>66</v>
      </c>
    </row>
    <row r="21" spans="1:6" x14ac:dyDescent="0.25">
      <c r="A21" s="25" t="s">
        <v>61</v>
      </c>
      <c r="B21" s="25" t="s">
        <v>75</v>
      </c>
      <c r="C21" s="36">
        <v>46392</v>
      </c>
      <c r="D21" s="36">
        <v>46422</v>
      </c>
      <c r="E21" s="27">
        <v>9500</v>
      </c>
      <c r="F21" s="34" t="s">
        <v>66</v>
      </c>
    </row>
    <row r="22" spans="1:6" x14ac:dyDescent="0.25">
      <c r="A22" s="25" t="s">
        <v>45</v>
      </c>
      <c r="B22" s="25" t="s">
        <v>76</v>
      </c>
      <c r="C22" s="36">
        <v>46393</v>
      </c>
      <c r="D22" s="36">
        <v>46424</v>
      </c>
      <c r="E22" s="27">
        <v>6500</v>
      </c>
      <c r="F22" s="34" t="s">
        <v>66</v>
      </c>
    </row>
    <row r="23" spans="1:6" x14ac:dyDescent="0.25">
      <c r="A23" s="25" t="s">
        <v>50</v>
      </c>
      <c r="B23" s="25" t="s">
        <v>77</v>
      </c>
      <c r="C23" s="36">
        <v>46396</v>
      </c>
      <c r="D23" s="36">
        <v>46429</v>
      </c>
      <c r="E23" s="27">
        <v>14500</v>
      </c>
      <c r="F23" s="34" t="s">
        <v>66</v>
      </c>
    </row>
    <row r="24" spans="1:6" x14ac:dyDescent="0.25">
      <c r="A24" s="25" t="s">
        <v>63</v>
      </c>
      <c r="B24" s="25" t="s">
        <v>78</v>
      </c>
      <c r="C24" s="36">
        <v>46399</v>
      </c>
      <c r="D24" s="36">
        <v>46431</v>
      </c>
      <c r="E24" s="27">
        <v>9500</v>
      </c>
      <c r="F24" s="34" t="s">
        <v>66</v>
      </c>
    </row>
    <row r="25" spans="1:6" ht="30" customHeight="1" x14ac:dyDescent="0.25">
      <c r="A25" s="25" t="s">
        <v>59</v>
      </c>
      <c r="B25" s="25" t="s">
        <v>79</v>
      </c>
      <c r="C25" s="36">
        <v>46403</v>
      </c>
      <c r="D25" s="36">
        <v>46436</v>
      </c>
      <c r="E25" s="27">
        <v>9500</v>
      </c>
      <c r="F25" s="34" t="s">
        <v>66</v>
      </c>
    </row>
    <row r="26" spans="1:6" x14ac:dyDescent="0.25">
      <c r="A26" s="25" t="s">
        <v>42</v>
      </c>
      <c r="B26" s="25" t="s">
        <v>80</v>
      </c>
      <c r="C26" s="36">
        <v>46406</v>
      </c>
      <c r="D26" s="36">
        <v>46438</v>
      </c>
      <c r="E26" s="27">
        <v>6500</v>
      </c>
      <c r="F26" s="34" t="s">
        <v>66</v>
      </c>
    </row>
    <row r="27" spans="1:6" x14ac:dyDescent="0.25">
      <c r="A27" s="25" t="s">
        <v>53</v>
      </c>
      <c r="B27" s="25" t="s">
        <v>81</v>
      </c>
      <c r="C27" s="36">
        <v>46413</v>
      </c>
      <c r="D27" s="36">
        <v>46443</v>
      </c>
      <c r="E27" s="27">
        <v>12000</v>
      </c>
      <c r="F27" s="34" t="s">
        <v>66</v>
      </c>
    </row>
    <row r="28" spans="1:6" x14ac:dyDescent="0.25">
      <c r="A28" s="25" t="s">
        <v>48</v>
      </c>
      <c r="B28" s="25" t="s">
        <v>82</v>
      </c>
      <c r="C28" s="36">
        <v>46415</v>
      </c>
      <c r="D28" s="36">
        <v>46445</v>
      </c>
      <c r="E28" s="27">
        <v>8000</v>
      </c>
      <c r="F28" s="34" t="s">
        <v>66</v>
      </c>
    </row>
    <row r="29" spans="1:6" x14ac:dyDescent="0.25">
      <c r="A29" s="17" t="s">
        <v>35</v>
      </c>
      <c r="E29" s="47">
        <f>SUM(E5:E28)</f>
        <v>210760</v>
      </c>
      <c r="F29" s="34"/>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E15"/>
  <sheetViews>
    <sheetView showGridLines="0" zoomScaleNormal="100" workbookViewId="0">
      <selection activeCell="D12" sqref="D12"/>
    </sheetView>
  </sheetViews>
  <sheetFormatPr defaultColWidth="8.6640625" defaultRowHeight="13.8" x14ac:dyDescent="0.25"/>
  <cols>
    <col min="1" max="1" width="30" style="25" customWidth="1"/>
    <col min="2" max="2" width="18" style="25" customWidth="1"/>
    <col min="3" max="3" width="14.109375" style="25" customWidth="1"/>
    <col min="4" max="4" width="14" style="25" customWidth="1"/>
    <col min="5" max="5" width="40" style="25" customWidth="1"/>
    <col min="6" max="16384" width="8.6640625" style="25"/>
  </cols>
  <sheetData>
    <row r="1" spans="1:5" ht="25.5" customHeight="1" x14ac:dyDescent="0.25">
      <c r="A1" s="55" t="s">
        <v>83</v>
      </c>
      <c r="B1" s="55"/>
      <c r="C1" s="55"/>
      <c r="D1" s="55"/>
      <c r="E1" s="55"/>
    </row>
    <row r="2" spans="1:5" ht="18" customHeight="1" x14ac:dyDescent="0.25">
      <c r="A2" s="56" t="s">
        <v>84</v>
      </c>
      <c r="B2" s="56"/>
      <c r="C2" s="56"/>
      <c r="D2" s="56"/>
      <c r="E2" s="56"/>
    </row>
    <row r="4" spans="1:5" ht="30" customHeight="1" x14ac:dyDescent="0.25">
      <c r="A4" s="9" t="s">
        <v>85</v>
      </c>
      <c r="B4" s="9" t="s">
        <v>86</v>
      </c>
      <c r="C4" s="9" t="s">
        <v>87</v>
      </c>
      <c r="D4" s="9" t="s">
        <v>88</v>
      </c>
      <c r="E4" s="9" t="s">
        <v>89</v>
      </c>
    </row>
    <row r="5" spans="1:5" x14ac:dyDescent="0.25">
      <c r="A5" s="25" t="s">
        <v>90</v>
      </c>
      <c r="B5" s="25" t="s">
        <v>91</v>
      </c>
      <c r="C5" s="35">
        <v>12000</v>
      </c>
      <c r="D5" s="25" t="s">
        <v>92</v>
      </c>
      <c r="E5" s="25" t="s">
        <v>93</v>
      </c>
    </row>
    <row r="6" spans="1:5" x14ac:dyDescent="0.25">
      <c r="A6" s="25" t="s">
        <v>94</v>
      </c>
      <c r="B6" s="25" t="s">
        <v>95</v>
      </c>
      <c r="C6" s="35">
        <v>8500</v>
      </c>
      <c r="D6" s="25" t="s">
        <v>65</v>
      </c>
      <c r="E6" s="25" t="s">
        <v>96</v>
      </c>
    </row>
    <row r="7" spans="1:5" x14ac:dyDescent="0.25">
      <c r="A7" s="25" t="s">
        <v>97</v>
      </c>
      <c r="B7" s="25" t="s">
        <v>98</v>
      </c>
      <c r="C7" s="35">
        <v>3200</v>
      </c>
      <c r="D7" s="25" t="s">
        <v>69</v>
      </c>
      <c r="E7" s="25" t="s">
        <v>99</v>
      </c>
    </row>
    <row r="8" spans="1:5" x14ac:dyDescent="0.25">
      <c r="A8" s="25" t="s">
        <v>100</v>
      </c>
      <c r="B8" s="25" t="s">
        <v>95</v>
      </c>
      <c r="C8" s="35">
        <v>1800</v>
      </c>
      <c r="D8" s="25" t="s">
        <v>65</v>
      </c>
      <c r="E8" s="25" t="s">
        <v>101</v>
      </c>
    </row>
    <row r="9" spans="1:5" x14ac:dyDescent="0.25">
      <c r="A9" s="25" t="s">
        <v>102</v>
      </c>
      <c r="B9" s="25" t="s">
        <v>95</v>
      </c>
      <c r="C9" s="35">
        <v>950</v>
      </c>
      <c r="D9" s="25" t="s">
        <v>65</v>
      </c>
      <c r="E9" s="25" t="s">
        <v>103</v>
      </c>
    </row>
    <row r="10" spans="1:5" x14ac:dyDescent="0.25">
      <c r="A10" s="25" t="s">
        <v>104</v>
      </c>
      <c r="B10" s="25" t="s">
        <v>105</v>
      </c>
      <c r="C10" s="35">
        <v>2800</v>
      </c>
      <c r="D10" s="25" t="s">
        <v>47</v>
      </c>
      <c r="E10" s="25" t="s">
        <v>106</v>
      </c>
    </row>
    <row r="11" spans="1:5" x14ac:dyDescent="0.25">
      <c r="A11" s="25" t="s">
        <v>107</v>
      </c>
      <c r="B11" s="25" t="s">
        <v>108</v>
      </c>
      <c r="C11" s="35">
        <v>4500</v>
      </c>
      <c r="D11" s="25" t="s">
        <v>47</v>
      </c>
      <c r="E11" s="25" t="s">
        <v>109</v>
      </c>
    </row>
    <row r="12" spans="1:5" x14ac:dyDescent="0.25">
      <c r="A12" s="25" t="s">
        <v>110</v>
      </c>
      <c r="B12" s="25" t="s">
        <v>111</v>
      </c>
      <c r="C12" s="35">
        <v>2100</v>
      </c>
      <c r="D12" s="25" t="s">
        <v>72</v>
      </c>
      <c r="E12" s="25" t="s">
        <v>112</v>
      </c>
    </row>
    <row r="13" spans="1:5" x14ac:dyDescent="0.25">
      <c r="A13" s="25" t="s">
        <v>113</v>
      </c>
      <c r="B13" s="25" t="s">
        <v>114</v>
      </c>
      <c r="C13" s="35">
        <v>420</v>
      </c>
      <c r="D13" s="25" t="s">
        <v>115</v>
      </c>
      <c r="E13" s="25" t="s">
        <v>116</v>
      </c>
    </row>
    <row r="14" spans="1:5" x14ac:dyDescent="0.25">
      <c r="A14" s="25" t="s">
        <v>117</v>
      </c>
      <c r="B14" s="25" t="s">
        <v>95</v>
      </c>
      <c r="C14" s="35">
        <v>310</v>
      </c>
      <c r="D14" s="25" t="s">
        <v>65</v>
      </c>
      <c r="E14" s="25" t="s">
        <v>118</v>
      </c>
    </row>
    <row r="15" spans="1:5" x14ac:dyDescent="0.25">
      <c r="A15" s="25" t="s">
        <v>119</v>
      </c>
      <c r="B15" s="25" t="s">
        <v>120</v>
      </c>
      <c r="C15" s="35">
        <v>1200</v>
      </c>
      <c r="D15" s="25" t="s">
        <v>121</v>
      </c>
      <c r="E15" s="25" t="s">
        <v>122</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2800D-F8AA-434A-BE16-1EAEF011EBF1}">
  <sheetPr>
    <tabColor theme="6"/>
  </sheetPr>
  <dimension ref="A1"/>
  <sheetViews>
    <sheetView showGridLines="0" workbookViewId="0">
      <selection activeCell="H14" sqref="H14"/>
    </sheetView>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17BE-F73A-4D4B-9AAE-B8EE640D8D45}">
  <sheetPr>
    <tabColor theme="6"/>
  </sheetPr>
  <dimension ref="A1:O31"/>
  <sheetViews>
    <sheetView showGridLines="0" zoomScale="106" zoomScaleNormal="78" workbookViewId="0">
      <selection activeCell="O5" sqref="O5:O17"/>
    </sheetView>
  </sheetViews>
  <sheetFormatPr defaultColWidth="12.88671875" defaultRowHeight="13.8" x14ac:dyDescent="0.25"/>
  <cols>
    <col min="1" max="1" width="31.88671875" style="25" customWidth="1"/>
    <col min="2" max="16384" width="12.88671875" style="25"/>
  </cols>
  <sheetData>
    <row r="1" spans="1:15" ht="17.399999999999999" x14ac:dyDescent="0.25">
      <c r="A1" s="31" t="s">
        <v>127</v>
      </c>
      <c r="B1" s="31"/>
      <c r="C1" s="31"/>
      <c r="D1" s="31"/>
      <c r="E1" s="31"/>
      <c r="F1" s="31"/>
      <c r="G1" s="31"/>
      <c r="H1" s="31"/>
      <c r="I1" s="31"/>
      <c r="J1" s="31"/>
      <c r="K1" s="31"/>
      <c r="L1" s="31"/>
      <c r="M1" s="31"/>
      <c r="N1" s="31"/>
    </row>
    <row r="3" spans="1:15" ht="15.6" x14ac:dyDescent="0.3">
      <c r="A3" s="24" t="s">
        <v>125</v>
      </c>
      <c r="B3" s="32">
        <f>DATE(2026,12,1)</f>
        <v>46357</v>
      </c>
      <c r="C3" s="32">
        <f>B3+7</f>
        <v>46364</v>
      </c>
      <c r="D3" s="32">
        <f t="shared" ref="D3:N3" si="0">C3+7</f>
        <v>46371</v>
      </c>
      <c r="E3" s="32">
        <f t="shared" si="0"/>
        <v>46378</v>
      </c>
      <c r="F3" s="32">
        <f t="shared" si="0"/>
        <v>46385</v>
      </c>
      <c r="G3" s="32">
        <f t="shared" si="0"/>
        <v>46392</v>
      </c>
      <c r="H3" s="32">
        <f t="shared" si="0"/>
        <v>46399</v>
      </c>
      <c r="I3" s="32">
        <f t="shared" si="0"/>
        <v>46406</v>
      </c>
      <c r="J3" s="32">
        <f t="shared" si="0"/>
        <v>46413</v>
      </c>
      <c r="K3" s="32">
        <f t="shared" si="0"/>
        <v>46420</v>
      </c>
      <c r="L3" s="32">
        <f t="shared" si="0"/>
        <v>46427</v>
      </c>
      <c r="M3" s="32">
        <f t="shared" si="0"/>
        <v>46434</v>
      </c>
      <c r="N3" s="32">
        <f t="shared" si="0"/>
        <v>46441</v>
      </c>
    </row>
    <row r="4" spans="1:15" x14ac:dyDescent="0.25">
      <c r="A4" s="9" t="s">
        <v>126</v>
      </c>
      <c r="B4" s="9" t="s">
        <v>147</v>
      </c>
      <c r="C4" s="9" t="s">
        <v>148</v>
      </c>
      <c r="D4" s="9" t="s">
        <v>149</v>
      </c>
      <c r="E4" s="9" t="s">
        <v>150</v>
      </c>
      <c r="F4" s="9" t="s">
        <v>151</v>
      </c>
      <c r="G4" s="9" t="s">
        <v>152</v>
      </c>
      <c r="H4" s="9" t="s">
        <v>153</v>
      </c>
      <c r="I4" s="9" t="s">
        <v>154</v>
      </c>
      <c r="J4" s="9" t="s">
        <v>155</v>
      </c>
      <c r="K4" s="9" t="s">
        <v>27</v>
      </c>
      <c r="L4" s="9" t="s">
        <v>29</v>
      </c>
      <c r="M4" s="9" t="s">
        <v>31</v>
      </c>
      <c r="N4" s="9" t="s">
        <v>33</v>
      </c>
      <c r="O4" s="9" t="s">
        <v>156</v>
      </c>
    </row>
    <row r="5" spans="1:15" x14ac:dyDescent="0.25">
      <c r="A5" s="25" t="str">
        <f>'Committed Expenses'!A5</f>
        <v>Payroll - Field &amp; Office Staff</v>
      </c>
      <c r="B5" s="20">
        <v>12000</v>
      </c>
      <c r="C5" s="20">
        <v>12000</v>
      </c>
      <c r="D5" s="20">
        <v>12000</v>
      </c>
      <c r="E5" s="20">
        <v>12000</v>
      </c>
      <c r="F5" s="20">
        <v>12000</v>
      </c>
      <c r="G5" s="20">
        <v>12000</v>
      </c>
      <c r="H5" s="20">
        <v>12000</v>
      </c>
      <c r="I5" s="20">
        <v>12000</v>
      </c>
      <c r="J5" s="20">
        <v>12000</v>
      </c>
      <c r="K5" s="20">
        <v>12000</v>
      </c>
      <c r="L5" s="20">
        <v>12000</v>
      </c>
      <c r="M5" s="20">
        <v>12000</v>
      </c>
      <c r="N5" s="20">
        <v>12000</v>
      </c>
      <c r="O5" s="48">
        <f>SUM(B5:N5)</f>
        <v>156000</v>
      </c>
    </row>
    <row r="6" spans="1:15" x14ac:dyDescent="0.25">
      <c r="A6" s="25" t="str">
        <f>'Committed Expenses'!A6</f>
        <v>Office &amp; Yard Rent</v>
      </c>
      <c r="B6" s="20">
        <v>8500</v>
      </c>
      <c r="C6" s="33"/>
      <c r="D6" s="33"/>
      <c r="E6" s="33"/>
      <c r="F6" s="20">
        <v>8500</v>
      </c>
      <c r="G6" s="33"/>
      <c r="H6" s="33"/>
      <c r="I6" s="33"/>
      <c r="J6" s="20">
        <v>8500</v>
      </c>
      <c r="K6" s="33"/>
      <c r="L6" s="33"/>
      <c r="M6" s="33"/>
      <c r="N6" s="33"/>
      <c r="O6" s="48">
        <f t="shared" ref="O6:O15" si="1">SUM(B6:N6)</f>
        <v>25500</v>
      </c>
    </row>
    <row r="7" spans="1:15" x14ac:dyDescent="0.25">
      <c r="A7" s="25" t="str">
        <f>'Committed Expenses'!A7</f>
        <v>Equipment Lease - Mowers &amp; Trucks</v>
      </c>
      <c r="B7" s="33"/>
      <c r="C7" s="33"/>
      <c r="D7" s="20">
        <v>3200</v>
      </c>
      <c r="E7" s="33"/>
      <c r="F7" s="33"/>
      <c r="G7" s="33"/>
      <c r="H7" s="20">
        <v>3200</v>
      </c>
      <c r="I7" s="33"/>
      <c r="J7" s="33"/>
      <c r="K7" s="33"/>
      <c r="L7" s="20">
        <v>3200</v>
      </c>
      <c r="M7" s="33"/>
      <c r="N7" s="33"/>
      <c r="O7" s="48">
        <f t="shared" si="1"/>
        <v>9600</v>
      </c>
    </row>
    <row r="8" spans="1:15" x14ac:dyDescent="0.25">
      <c r="A8" s="25" t="str">
        <f>'Committed Expenses'!A8</f>
        <v>Commercial General Liability Ins.</v>
      </c>
      <c r="B8" s="20">
        <v>1800</v>
      </c>
      <c r="C8" s="33"/>
      <c r="D8" s="33"/>
      <c r="E8" s="33"/>
      <c r="F8" s="20">
        <v>1800</v>
      </c>
      <c r="G8" s="33"/>
      <c r="H8" s="33"/>
      <c r="I8" s="33"/>
      <c r="J8" s="20">
        <v>1800</v>
      </c>
      <c r="K8" s="33"/>
      <c r="L8" s="33"/>
      <c r="M8" s="33"/>
      <c r="N8" s="33"/>
      <c r="O8" s="48">
        <f t="shared" si="1"/>
        <v>5400</v>
      </c>
    </row>
    <row r="9" spans="1:15" x14ac:dyDescent="0.25">
      <c r="A9" s="25" t="str">
        <f>'Committed Expenses'!A9</f>
        <v>Workers' Compensation Insurance</v>
      </c>
      <c r="B9" s="20">
        <v>950</v>
      </c>
      <c r="C9" s="33"/>
      <c r="D9" s="33"/>
      <c r="E9" s="33"/>
      <c r="F9" s="20">
        <v>950</v>
      </c>
      <c r="G9" s="33"/>
      <c r="H9" s="33"/>
      <c r="I9" s="33"/>
      <c r="J9" s="20">
        <v>950</v>
      </c>
      <c r="K9" s="33"/>
      <c r="L9" s="33"/>
      <c r="M9" s="33"/>
      <c r="N9" s="33"/>
      <c r="O9" s="48">
        <f t="shared" si="1"/>
        <v>2850</v>
      </c>
    </row>
    <row r="10" spans="1:15" x14ac:dyDescent="0.25">
      <c r="A10" s="25" t="str">
        <f>'Committed Expenses'!A10</f>
        <v>Fuel &amp; Fleet Operating Costs</v>
      </c>
      <c r="B10" s="20">
        <v>2800</v>
      </c>
      <c r="C10" s="20">
        <v>2800</v>
      </c>
      <c r="D10" s="20">
        <v>2800</v>
      </c>
      <c r="E10" s="20">
        <v>2800</v>
      </c>
      <c r="F10" s="20">
        <v>2800</v>
      </c>
      <c r="G10" s="20">
        <v>2800</v>
      </c>
      <c r="H10" s="20">
        <v>2800</v>
      </c>
      <c r="I10" s="20">
        <v>2800</v>
      </c>
      <c r="J10" s="20">
        <v>2800</v>
      </c>
      <c r="K10" s="20">
        <v>2800</v>
      </c>
      <c r="L10" s="20">
        <v>2800</v>
      </c>
      <c r="M10" s="20">
        <v>2800</v>
      </c>
      <c r="N10" s="20">
        <v>2800</v>
      </c>
      <c r="O10" s="48">
        <f t="shared" si="1"/>
        <v>36400</v>
      </c>
    </row>
    <row r="11" spans="1:15" x14ac:dyDescent="0.25">
      <c r="A11" s="25" t="str">
        <f>'Committed Expenses'!A11</f>
        <v>Landscaping Materials &amp; Supplies</v>
      </c>
      <c r="B11" s="20">
        <v>4500</v>
      </c>
      <c r="C11" s="33"/>
      <c r="D11" s="20">
        <v>4500</v>
      </c>
      <c r="E11" s="33"/>
      <c r="F11" s="20">
        <v>4500</v>
      </c>
      <c r="G11" s="33"/>
      <c r="H11" s="20">
        <v>4500</v>
      </c>
      <c r="I11" s="33"/>
      <c r="J11" s="20">
        <v>4500</v>
      </c>
      <c r="K11" s="33"/>
      <c r="L11" s="20">
        <v>4500</v>
      </c>
      <c r="M11" s="33"/>
      <c r="N11" s="20">
        <v>4500</v>
      </c>
      <c r="O11" s="48">
        <f t="shared" si="1"/>
        <v>31500</v>
      </c>
    </row>
    <row r="12" spans="1:15" x14ac:dyDescent="0.25">
      <c r="A12" s="25" t="str">
        <f>'Committed Expenses'!A12</f>
        <v>SBA Term Loan Payment</v>
      </c>
      <c r="B12" s="33"/>
      <c r="C12" s="33"/>
      <c r="D12" s="20">
        <v>2100</v>
      </c>
      <c r="E12" s="33"/>
      <c r="F12" s="33"/>
      <c r="G12" s="33"/>
      <c r="H12" s="33"/>
      <c r="I12" s="20">
        <v>2100</v>
      </c>
      <c r="J12" s="33"/>
      <c r="K12" s="33"/>
      <c r="L12" s="33"/>
      <c r="M12" s="20">
        <v>2100</v>
      </c>
      <c r="N12" s="33"/>
      <c r="O12" s="48">
        <f t="shared" si="1"/>
        <v>6300</v>
      </c>
    </row>
    <row r="13" spans="1:15" x14ac:dyDescent="0.25">
      <c r="A13" s="25" t="str">
        <f>'Committed Expenses'!A13</f>
        <v>Utilities - Office &amp; Yard</v>
      </c>
      <c r="B13" s="33"/>
      <c r="C13" s="20">
        <v>420</v>
      </c>
      <c r="D13" s="33"/>
      <c r="E13" s="33"/>
      <c r="F13" s="33"/>
      <c r="G13" s="20">
        <v>420</v>
      </c>
      <c r="H13" s="33"/>
      <c r="I13" s="33"/>
      <c r="J13" s="33"/>
      <c r="K13" s="33"/>
      <c r="L13" s="20">
        <v>420</v>
      </c>
      <c r="M13" s="33"/>
      <c r="N13" s="33"/>
      <c r="O13" s="48">
        <f t="shared" si="1"/>
        <v>1260</v>
      </c>
    </row>
    <row r="14" spans="1:15" x14ac:dyDescent="0.25">
      <c r="A14" s="25" t="str">
        <f>'Committed Expenses'!A14</f>
        <v>Software &amp; Subscriptions</v>
      </c>
      <c r="B14" s="20">
        <v>310</v>
      </c>
      <c r="C14" s="33"/>
      <c r="D14" s="33"/>
      <c r="E14" s="33"/>
      <c r="F14" s="20">
        <v>310</v>
      </c>
      <c r="G14" s="33"/>
      <c r="H14" s="33"/>
      <c r="I14" s="33"/>
      <c r="J14" s="20">
        <v>310</v>
      </c>
      <c r="K14" s="33"/>
      <c r="L14" s="33"/>
      <c r="M14" s="33"/>
      <c r="N14" s="33"/>
      <c r="O14" s="48">
        <f t="shared" si="1"/>
        <v>930</v>
      </c>
    </row>
    <row r="15" spans="1:15" x14ac:dyDescent="0.25">
      <c r="A15" s="25" t="str">
        <f>'Committed Expenses'!A15</f>
        <v>Vehicle Registration &amp; Permits</v>
      </c>
      <c r="B15" s="33"/>
      <c r="C15" s="33"/>
      <c r="D15" s="33"/>
      <c r="E15" s="33"/>
      <c r="F15" s="33"/>
      <c r="G15" s="33"/>
      <c r="H15" s="20">
        <v>1200</v>
      </c>
      <c r="I15" s="33"/>
      <c r="J15" s="33"/>
      <c r="K15" s="33"/>
      <c r="L15" s="33"/>
      <c r="M15" s="33"/>
      <c r="N15" s="33"/>
      <c r="O15" s="48">
        <f t="shared" si="1"/>
        <v>1200</v>
      </c>
    </row>
    <row r="16" spans="1:15" x14ac:dyDescent="0.25">
      <c r="A16" s="41" t="s">
        <v>35</v>
      </c>
      <c r="B16" s="44">
        <f>SUM(B5:B15)</f>
        <v>30860</v>
      </c>
      <c r="C16" s="44">
        <f t="shared" ref="C16:N16" si="2">SUM(C5:C15)</f>
        <v>15220</v>
      </c>
      <c r="D16" s="44">
        <f t="shared" si="2"/>
        <v>24600</v>
      </c>
      <c r="E16" s="44">
        <f t="shared" si="2"/>
        <v>14800</v>
      </c>
      <c r="F16" s="44">
        <f t="shared" si="2"/>
        <v>30860</v>
      </c>
      <c r="G16" s="44">
        <f t="shared" si="2"/>
        <v>15220</v>
      </c>
      <c r="H16" s="44">
        <f t="shared" si="2"/>
        <v>23700</v>
      </c>
      <c r="I16" s="44">
        <f t="shared" si="2"/>
        <v>16900</v>
      </c>
      <c r="J16" s="44">
        <f t="shared" si="2"/>
        <v>30860</v>
      </c>
      <c r="K16" s="44">
        <f t="shared" si="2"/>
        <v>14800</v>
      </c>
      <c r="L16" s="44">
        <f t="shared" si="2"/>
        <v>22920</v>
      </c>
      <c r="M16" s="44">
        <f t="shared" si="2"/>
        <v>16900</v>
      </c>
      <c r="N16" s="44">
        <f t="shared" si="2"/>
        <v>19300</v>
      </c>
    </row>
    <row r="18" spans="1:2" ht="22.2" hidden="1" customHeight="1" x14ac:dyDescent="0.25">
      <c r="A18" s="9"/>
      <c r="B18" s="9" t="s">
        <v>158</v>
      </c>
    </row>
    <row r="19" spans="1:2" hidden="1" x14ac:dyDescent="0.25">
      <c r="A19" s="34" t="str" cm="1">
        <f t="array" ref="A19:A31">TRANSPOSE(B4:N4)</f>
        <v>Week 01</v>
      </c>
      <c r="B19" s="34" cm="1">
        <f t="array" ref="B19:B31">TRANSPOSE(B16:N16)</f>
        <v>30860</v>
      </c>
    </row>
    <row r="20" spans="1:2" hidden="1" x14ac:dyDescent="0.25">
      <c r="A20" s="34" t="str">
        <v>Week 02</v>
      </c>
      <c r="B20" s="34">
        <v>15220</v>
      </c>
    </row>
    <row r="21" spans="1:2" hidden="1" x14ac:dyDescent="0.25">
      <c r="A21" s="34" t="str">
        <v>Week 03</v>
      </c>
      <c r="B21" s="34">
        <v>24600</v>
      </c>
    </row>
    <row r="22" spans="1:2" hidden="1" x14ac:dyDescent="0.25">
      <c r="A22" s="34" t="str">
        <v>Week 04</v>
      </c>
      <c r="B22" s="34">
        <v>14800</v>
      </c>
    </row>
    <row r="23" spans="1:2" hidden="1" x14ac:dyDescent="0.25">
      <c r="A23" s="34" t="str">
        <v>Week 05</v>
      </c>
      <c r="B23" s="34">
        <v>30860</v>
      </c>
    </row>
    <row r="24" spans="1:2" hidden="1" x14ac:dyDescent="0.25">
      <c r="A24" s="34" t="str">
        <v>Week 06</v>
      </c>
      <c r="B24" s="34">
        <v>15220</v>
      </c>
    </row>
    <row r="25" spans="1:2" hidden="1" x14ac:dyDescent="0.25">
      <c r="A25" s="34" t="str">
        <v>Week 07</v>
      </c>
      <c r="B25" s="34">
        <v>23700</v>
      </c>
    </row>
    <row r="26" spans="1:2" hidden="1" x14ac:dyDescent="0.25">
      <c r="A26" s="34" t="str">
        <v>Week 08</v>
      </c>
      <c r="B26" s="34">
        <v>16900</v>
      </c>
    </row>
    <row r="27" spans="1:2" hidden="1" x14ac:dyDescent="0.25">
      <c r="A27" s="34" t="str">
        <v>Week 09</v>
      </c>
      <c r="B27" s="34">
        <v>30860</v>
      </c>
    </row>
    <row r="28" spans="1:2" hidden="1" x14ac:dyDescent="0.25">
      <c r="A28" s="34" t="str">
        <v>Week 10</v>
      </c>
      <c r="B28" s="34">
        <v>14800</v>
      </c>
    </row>
    <row r="29" spans="1:2" hidden="1" x14ac:dyDescent="0.25">
      <c r="A29" s="34" t="str">
        <v>Week 11</v>
      </c>
      <c r="B29" s="34">
        <v>22920</v>
      </c>
    </row>
    <row r="30" spans="1:2" hidden="1" x14ac:dyDescent="0.25">
      <c r="A30" s="34" t="str">
        <v>Week 12</v>
      </c>
      <c r="B30" s="34">
        <v>16900</v>
      </c>
    </row>
    <row r="31" spans="1:2" hidden="1" x14ac:dyDescent="0.25">
      <c r="A31" s="34" t="str">
        <v>Week 13</v>
      </c>
      <c r="B31" s="34">
        <v>19300</v>
      </c>
    </row>
  </sheetData>
  <phoneticPr fontId="1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9D10-2179-49A2-A818-C3D758A54104}">
  <sheetPr>
    <tabColor theme="6"/>
  </sheetPr>
  <dimension ref="A1:E18"/>
  <sheetViews>
    <sheetView showGridLines="0" workbookViewId="0">
      <selection activeCell="D8" sqref="D8"/>
    </sheetView>
  </sheetViews>
  <sheetFormatPr defaultRowHeight="14.4" x14ac:dyDescent="0.3"/>
  <cols>
    <col min="1" max="1" width="10.21875" customWidth="1"/>
    <col min="2" max="2" width="12.44140625" customWidth="1"/>
    <col min="3" max="3" width="12.6640625" customWidth="1"/>
    <col min="4" max="4" width="14.21875" customWidth="1"/>
    <col min="5" max="5" width="13.33203125" customWidth="1"/>
  </cols>
  <sheetData>
    <row r="1" spans="1:5" ht="17.399999999999999" x14ac:dyDescent="0.3">
      <c r="A1" s="54" t="s">
        <v>140</v>
      </c>
      <c r="B1" s="54"/>
      <c r="C1" s="54"/>
      <c r="D1" s="54"/>
      <c r="E1" s="21"/>
    </row>
    <row r="2" spans="1:5" ht="27.6" x14ac:dyDescent="0.3">
      <c r="A2" s="9" t="s">
        <v>15</v>
      </c>
      <c r="B2" s="9" t="s">
        <v>123</v>
      </c>
      <c r="C2" s="9" t="s">
        <v>124</v>
      </c>
      <c r="D2" s="9" t="s">
        <v>17</v>
      </c>
    </row>
    <row r="3" spans="1:5" x14ac:dyDescent="0.3">
      <c r="A3" s="22" t="s">
        <v>147</v>
      </c>
      <c r="B3" s="23">
        <f>DATE(2026,12,1)</f>
        <v>46357</v>
      </c>
      <c r="C3" s="23">
        <f t="shared" ref="C3:C15" si="0">B3+6</f>
        <v>46363</v>
      </c>
      <c r="D3" s="19">
        <f>SUMIFS('AR Collections'!$E$5:$E$28,'AR Collections'!$D$5:$D$28,"&lt;="&amp;C3)</f>
        <v>22000</v>
      </c>
    </row>
    <row r="4" spans="1:5" x14ac:dyDescent="0.3">
      <c r="A4" s="22" t="s">
        <v>148</v>
      </c>
      <c r="B4" s="23">
        <f t="shared" ref="B4:B15" si="1">C3+1</f>
        <v>46364</v>
      </c>
      <c r="C4" s="23">
        <f t="shared" si="0"/>
        <v>46370</v>
      </c>
      <c r="D4" s="19">
        <f>SUMIFS('AR Collections'!$E$5:$E$28,'AR Collections'!$D$5:$D$28,"&lt;="&amp;C4)-SUM($D$3:D3)</f>
        <v>16000</v>
      </c>
    </row>
    <row r="5" spans="1:5" x14ac:dyDescent="0.3">
      <c r="A5" s="22" t="s">
        <v>149</v>
      </c>
      <c r="B5" s="23">
        <f t="shared" si="1"/>
        <v>46371</v>
      </c>
      <c r="C5" s="23">
        <f t="shared" si="0"/>
        <v>46377</v>
      </c>
      <c r="D5" s="19">
        <f>SUMIFS('AR Collections'!$E$5:$E$28,'AR Collections'!$D$5:$D$28,"&lt;="&amp;C5)-SUM($D$3:D4)</f>
        <v>12000</v>
      </c>
    </row>
    <row r="6" spans="1:5" x14ac:dyDescent="0.3">
      <c r="A6" s="22" t="s">
        <v>150</v>
      </c>
      <c r="B6" s="23">
        <f t="shared" si="1"/>
        <v>46378</v>
      </c>
      <c r="C6" s="23">
        <f t="shared" si="0"/>
        <v>46384</v>
      </c>
      <c r="D6" s="19">
        <f>SUMIFS('AR Collections'!$E$5:$E$28,'AR Collections'!$D$5:$D$28,"&lt;="&amp;C6)-SUM($D$3:D5)</f>
        <v>4000</v>
      </c>
    </row>
    <row r="7" spans="1:5" x14ac:dyDescent="0.3">
      <c r="A7" s="22" t="s">
        <v>151</v>
      </c>
      <c r="B7" s="23">
        <f t="shared" si="1"/>
        <v>46385</v>
      </c>
      <c r="C7" s="23">
        <f t="shared" si="0"/>
        <v>46391</v>
      </c>
      <c r="D7" s="19">
        <f>SUMIFS('AR Collections'!$E$5:$E$28,'AR Collections'!$D$5:$D$28,"&lt;="&amp;C7)-SUM($D$3:D6)</f>
        <v>16000</v>
      </c>
    </row>
    <row r="8" spans="1:5" x14ac:dyDescent="0.3">
      <c r="A8" s="22" t="s">
        <v>152</v>
      </c>
      <c r="B8" s="23">
        <f t="shared" si="1"/>
        <v>46392</v>
      </c>
      <c r="C8" s="23">
        <f t="shared" si="0"/>
        <v>46398</v>
      </c>
      <c r="D8" s="19">
        <f>SUMIFS('AR Collections'!$E$5:$E$28,'AR Collections'!$D$5:$D$28,"&lt;="&amp;C8)-SUM($D$3:D7)</f>
        <v>3760</v>
      </c>
    </row>
    <row r="9" spans="1:5" x14ac:dyDescent="0.3">
      <c r="A9" s="22" t="s">
        <v>153</v>
      </c>
      <c r="B9" s="23">
        <f t="shared" si="1"/>
        <v>46399</v>
      </c>
      <c r="C9" s="23">
        <f t="shared" si="0"/>
        <v>46405</v>
      </c>
      <c r="D9" s="19">
        <f>SUMIFS('AR Collections'!$E$5:$E$28,'AR Collections'!$D$5:$D$28,"&lt;="&amp;C9)-SUM($D$3:D8)</f>
        <v>6000</v>
      </c>
    </row>
    <row r="10" spans="1:5" x14ac:dyDescent="0.3">
      <c r="A10" s="22" t="s">
        <v>154</v>
      </c>
      <c r="B10" s="23">
        <f t="shared" si="1"/>
        <v>46406</v>
      </c>
      <c r="C10" s="23">
        <f t="shared" si="0"/>
        <v>46412</v>
      </c>
      <c r="D10" s="19">
        <f>SUMIFS('AR Collections'!$E$5:$E$28,'AR Collections'!$D$5:$D$28,"&lt;="&amp;C10)-SUM($D$3:D9)</f>
        <v>24000</v>
      </c>
    </row>
    <row r="11" spans="1:5" x14ac:dyDescent="0.3">
      <c r="A11" s="22" t="s">
        <v>155</v>
      </c>
      <c r="B11" s="23">
        <f t="shared" si="1"/>
        <v>46413</v>
      </c>
      <c r="C11" s="23">
        <f t="shared" si="0"/>
        <v>46419</v>
      </c>
      <c r="D11" s="19">
        <f>SUMIFS('AR Collections'!$E$5:$E$28,'AR Collections'!$D$5:$D$28,"&lt;="&amp;C11)-SUM($D$3:D10)</f>
        <v>31000</v>
      </c>
    </row>
    <row r="12" spans="1:5" x14ac:dyDescent="0.3">
      <c r="A12" s="22" t="s">
        <v>27</v>
      </c>
      <c r="B12" s="23">
        <f t="shared" si="1"/>
        <v>46420</v>
      </c>
      <c r="C12" s="23">
        <f t="shared" si="0"/>
        <v>46426</v>
      </c>
      <c r="D12" s="19">
        <f>SUMIFS('AR Collections'!$E$5:$E$28,'AR Collections'!$D$5:$D$28,"&lt;="&amp;C12)-SUM($D$3:D11)</f>
        <v>16000</v>
      </c>
    </row>
    <row r="13" spans="1:5" x14ac:dyDescent="0.3">
      <c r="A13" s="22" t="s">
        <v>29</v>
      </c>
      <c r="B13" s="23">
        <f t="shared" si="1"/>
        <v>46427</v>
      </c>
      <c r="C13" s="23">
        <f t="shared" si="0"/>
        <v>46433</v>
      </c>
      <c r="D13" s="19">
        <f>SUMIFS('AR Collections'!$E$5:$E$28,'AR Collections'!$D$5:$D$28,"&lt;="&amp;C13)-SUM($D$3:D12)</f>
        <v>24000</v>
      </c>
    </row>
    <row r="14" spans="1:5" x14ac:dyDescent="0.3">
      <c r="A14" s="22" t="s">
        <v>31</v>
      </c>
      <c r="B14" s="23">
        <f t="shared" si="1"/>
        <v>46434</v>
      </c>
      <c r="C14" s="23">
        <f t="shared" si="0"/>
        <v>46440</v>
      </c>
      <c r="D14" s="19">
        <f>SUMIFS('AR Collections'!$E$5:$E$28,'AR Collections'!$D$5:$D$28,"&lt;="&amp;C14)-SUM($D$3:D13)</f>
        <v>16000</v>
      </c>
    </row>
    <row r="15" spans="1:5" x14ac:dyDescent="0.3">
      <c r="A15" s="22" t="s">
        <v>33</v>
      </c>
      <c r="B15" s="23">
        <f t="shared" si="1"/>
        <v>46441</v>
      </c>
      <c r="C15" s="23">
        <f t="shared" si="0"/>
        <v>46447</v>
      </c>
      <c r="D15" s="19">
        <f>SUMIFS('AR Collections'!$E$5:$E$28,'AR Collections'!$D$5:$D$28,"&lt;="&amp;C15)-SUM($D$3:D14)</f>
        <v>20000</v>
      </c>
    </row>
    <row r="16" spans="1:5" x14ac:dyDescent="0.3">
      <c r="A16" s="41" t="s">
        <v>35</v>
      </c>
      <c r="B16" s="45"/>
      <c r="C16" s="45"/>
      <c r="D16" s="46">
        <f>SUM(D3:D15)</f>
        <v>210760</v>
      </c>
    </row>
    <row r="17" spans="2:3" x14ac:dyDescent="0.3">
      <c r="B17" s="5"/>
      <c r="C17" s="5"/>
    </row>
    <row r="18" spans="2:3" x14ac:dyDescent="0.3">
      <c r="B18" s="4"/>
      <c r="C18" s="4"/>
    </row>
  </sheetData>
  <mergeCells count="1">
    <mergeCell ref="A1:D1"/>
  </mergeCells>
  <phoneticPr fontId="1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5FED-C714-495C-96EC-D1555F1398CD}">
  <sheetPr>
    <tabColor theme="2" tint="-9.9978637043366805E-2"/>
  </sheetPr>
  <dimension ref="B2:AF19"/>
  <sheetViews>
    <sheetView showGridLines="0" workbookViewId="0">
      <selection activeCell="K10" sqref="K10"/>
    </sheetView>
  </sheetViews>
  <sheetFormatPr defaultRowHeight="13.8" x14ac:dyDescent="0.25"/>
  <cols>
    <col min="1" max="1" width="1.5546875" style="25" customWidth="1"/>
    <col min="2" max="2" width="14.5546875" style="25" bestFit="1" customWidth="1"/>
    <col min="3" max="3" width="15.77734375" style="25" bestFit="1" customWidth="1"/>
    <col min="4" max="4" width="17.5546875" style="25" bestFit="1" customWidth="1"/>
    <col min="5" max="5" width="8.88671875" style="25"/>
    <col min="6" max="6" width="14.5546875" style="25" bestFit="1" customWidth="1"/>
    <col min="7" max="7" width="19.44140625" style="25" bestFit="1" customWidth="1"/>
    <col min="8" max="8" width="16.21875" style="25" bestFit="1" customWidth="1"/>
    <col min="9" max="9" width="8.88671875" style="25"/>
    <col min="10" max="10" width="14.5546875" style="25" bestFit="1" customWidth="1"/>
    <col min="11" max="11" width="22.77734375" style="25" bestFit="1" customWidth="1"/>
    <col min="12" max="12" width="8.88671875" style="25"/>
    <col min="13" max="13" width="31" style="25" bestFit="1" customWidth="1"/>
    <col min="14" max="15" width="14.77734375" style="25" bestFit="1" customWidth="1"/>
    <col min="16" max="16" width="14.44140625" style="25" bestFit="1" customWidth="1"/>
    <col min="17" max="17" width="20.109375" style="25" bestFit="1" customWidth="1"/>
    <col min="18" max="21" width="14.77734375" style="25" bestFit="1" customWidth="1"/>
    <col min="22" max="22" width="29" style="25" bestFit="1" customWidth="1"/>
    <col min="23" max="23" width="33.21875" style="25" bestFit="1" customWidth="1"/>
    <col min="24" max="25" width="13.44140625" style="25" bestFit="1" customWidth="1"/>
    <col min="26" max="16384" width="8.88671875" style="25"/>
  </cols>
  <sheetData>
    <row r="2" spans="2:32" x14ac:dyDescent="0.25">
      <c r="B2" s="37" t="s">
        <v>142</v>
      </c>
      <c r="C2" s="25" t="s">
        <v>144</v>
      </c>
      <c r="D2" s="25" t="s">
        <v>146</v>
      </c>
      <c r="F2" s="37" t="s">
        <v>142</v>
      </c>
      <c r="G2" s="25" t="s">
        <v>161</v>
      </c>
      <c r="H2" s="25" t="s">
        <v>162</v>
      </c>
      <c r="J2" s="37" t="s">
        <v>142</v>
      </c>
      <c r="K2" s="25" t="s">
        <v>143</v>
      </c>
      <c r="M2" s="3" t="s">
        <v>126</v>
      </c>
      <c r="N2" s="6" t="s">
        <v>156</v>
      </c>
      <c r="P2" s="37" t="s">
        <v>126</v>
      </c>
      <c r="Q2" s="25" t="s">
        <v>94</v>
      </c>
    </row>
    <row r="3" spans="2:32" x14ac:dyDescent="0.25">
      <c r="B3" s="49" t="s">
        <v>147</v>
      </c>
      <c r="C3" s="26">
        <v>22000</v>
      </c>
      <c r="D3" s="26">
        <v>30860</v>
      </c>
      <c r="F3" s="49" t="s">
        <v>147</v>
      </c>
      <c r="G3" s="26">
        <v>85000</v>
      </c>
      <c r="H3" s="26">
        <v>76140</v>
      </c>
      <c r="J3" s="49" t="s">
        <v>147</v>
      </c>
      <c r="K3" s="26">
        <v>-8860</v>
      </c>
      <c r="M3" s="25" t="s">
        <v>90</v>
      </c>
      <c r="N3" s="27">
        <v>156000</v>
      </c>
    </row>
    <row r="4" spans="2:32" x14ac:dyDescent="0.25">
      <c r="B4" s="49" t="s">
        <v>148</v>
      </c>
      <c r="C4" s="26">
        <v>16000</v>
      </c>
      <c r="D4" s="26">
        <v>15220</v>
      </c>
      <c r="F4" s="49" t="s">
        <v>148</v>
      </c>
      <c r="G4" s="26">
        <v>76140</v>
      </c>
      <c r="H4" s="26">
        <v>76920</v>
      </c>
      <c r="J4" s="49" t="s">
        <v>148</v>
      </c>
      <c r="K4" s="26">
        <v>780</v>
      </c>
      <c r="M4" s="25" t="s">
        <v>94</v>
      </c>
      <c r="N4" s="27">
        <v>25500</v>
      </c>
      <c r="P4" s="25" t="s">
        <v>157</v>
      </c>
    </row>
    <row r="5" spans="2:32" x14ac:dyDescent="0.25">
      <c r="B5" s="49" t="s">
        <v>149</v>
      </c>
      <c r="C5" s="26">
        <v>12000</v>
      </c>
      <c r="D5" s="26">
        <v>24600</v>
      </c>
      <c r="F5" s="49" t="s">
        <v>149</v>
      </c>
      <c r="G5" s="26">
        <v>76920</v>
      </c>
      <c r="H5" s="26">
        <v>64320</v>
      </c>
      <c r="J5" s="49" t="s">
        <v>149</v>
      </c>
      <c r="K5" s="26">
        <v>-12600</v>
      </c>
      <c r="M5" s="25" t="s">
        <v>97</v>
      </c>
      <c r="N5" s="27">
        <v>9600</v>
      </c>
      <c r="P5" s="38">
        <v>25500</v>
      </c>
    </row>
    <row r="6" spans="2:32" x14ac:dyDescent="0.25">
      <c r="B6" s="49" t="s">
        <v>150</v>
      </c>
      <c r="C6" s="26">
        <v>4000</v>
      </c>
      <c r="D6" s="26">
        <v>14800</v>
      </c>
      <c r="F6" s="49" t="s">
        <v>150</v>
      </c>
      <c r="G6" s="26">
        <v>64320</v>
      </c>
      <c r="H6" s="26">
        <v>53520</v>
      </c>
      <c r="J6" s="49" t="s">
        <v>150</v>
      </c>
      <c r="K6" s="26">
        <v>-10800</v>
      </c>
      <c r="M6" s="25" t="s">
        <v>100</v>
      </c>
      <c r="N6" s="27">
        <v>5400</v>
      </c>
    </row>
    <row r="7" spans="2:32" x14ac:dyDescent="0.25">
      <c r="B7" s="49" t="s">
        <v>151</v>
      </c>
      <c r="C7" s="26">
        <v>16000</v>
      </c>
      <c r="D7" s="26">
        <v>30860</v>
      </c>
      <c r="F7" s="49" t="s">
        <v>151</v>
      </c>
      <c r="G7" s="26">
        <v>53520</v>
      </c>
      <c r="H7" s="26">
        <v>38660</v>
      </c>
      <c r="J7" s="49" t="s">
        <v>151</v>
      </c>
      <c r="K7" s="26">
        <v>-14860</v>
      </c>
      <c r="M7" s="25" t="s">
        <v>102</v>
      </c>
      <c r="N7" s="27">
        <v>2850</v>
      </c>
    </row>
    <row r="8" spans="2:32" x14ac:dyDescent="0.25">
      <c r="B8" s="49" t="s">
        <v>152</v>
      </c>
      <c r="C8" s="26">
        <v>3760</v>
      </c>
      <c r="D8" s="26">
        <v>15220</v>
      </c>
      <c r="F8" s="49" t="s">
        <v>152</v>
      </c>
      <c r="G8" s="26">
        <v>38660</v>
      </c>
      <c r="H8" s="26">
        <v>27200</v>
      </c>
      <c r="J8" s="49" t="s">
        <v>152</v>
      </c>
      <c r="K8" s="26">
        <v>-11460</v>
      </c>
      <c r="M8" s="25" t="s">
        <v>104</v>
      </c>
      <c r="N8" s="27">
        <v>36400</v>
      </c>
    </row>
    <row r="9" spans="2:32" x14ac:dyDescent="0.25">
      <c r="B9" s="49" t="s">
        <v>153</v>
      </c>
      <c r="C9" s="26">
        <v>6000</v>
      </c>
      <c r="D9" s="26">
        <v>23700</v>
      </c>
      <c r="F9" s="49" t="s">
        <v>153</v>
      </c>
      <c r="G9" s="26">
        <v>27200</v>
      </c>
      <c r="H9" s="26">
        <v>9500</v>
      </c>
      <c r="J9" s="49" t="s">
        <v>153</v>
      </c>
      <c r="K9" s="26">
        <v>-17700</v>
      </c>
      <c r="M9" s="25" t="s">
        <v>107</v>
      </c>
      <c r="N9" s="27">
        <v>31500</v>
      </c>
    </row>
    <row r="10" spans="2:32" x14ac:dyDescent="0.25">
      <c r="B10" s="49" t="s">
        <v>154</v>
      </c>
      <c r="C10" s="26">
        <v>24000</v>
      </c>
      <c r="D10" s="26">
        <v>16900</v>
      </c>
      <c r="F10" s="49" t="s">
        <v>154</v>
      </c>
      <c r="G10" s="26">
        <v>9500</v>
      </c>
      <c r="H10" s="26">
        <v>16600</v>
      </c>
      <c r="J10" s="49" t="s">
        <v>154</v>
      </c>
      <c r="K10" s="26">
        <v>7100</v>
      </c>
      <c r="M10" s="25" t="s">
        <v>110</v>
      </c>
      <c r="N10" s="27">
        <v>6300</v>
      </c>
    </row>
    <row r="11" spans="2:32" x14ac:dyDescent="0.25">
      <c r="B11" s="49" t="s">
        <v>155</v>
      </c>
      <c r="C11" s="26">
        <v>31000</v>
      </c>
      <c r="D11" s="26">
        <v>30860</v>
      </c>
      <c r="F11" s="49" t="s">
        <v>155</v>
      </c>
      <c r="G11" s="26">
        <v>16600</v>
      </c>
      <c r="H11" s="26">
        <v>16740</v>
      </c>
      <c r="J11" s="49" t="s">
        <v>155</v>
      </c>
      <c r="K11" s="26">
        <v>140</v>
      </c>
      <c r="M11" s="25" t="s">
        <v>113</v>
      </c>
      <c r="N11" s="27">
        <v>1260</v>
      </c>
      <c r="AA11" s="28"/>
      <c r="AB11" s="28"/>
      <c r="AC11" s="28"/>
      <c r="AD11" s="28"/>
      <c r="AE11" s="28"/>
      <c r="AF11" s="28"/>
    </row>
    <row r="12" spans="2:32" x14ac:dyDescent="0.25">
      <c r="B12" s="49" t="s">
        <v>27</v>
      </c>
      <c r="C12" s="26">
        <v>16000</v>
      </c>
      <c r="D12" s="26">
        <v>14800</v>
      </c>
      <c r="F12" s="49" t="s">
        <v>27</v>
      </c>
      <c r="G12" s="26">
        <v>16740</v>
      </c>
      <c r="H12" s="26">
        <v>17940</v>
      </c>
      <c r="J12" s="49" t="s">
        <v>27</v>
      </c>
      <c r="K12" s="26">
        <v>1200</v>
      </c>
      <c r="M12" s="25" t="s">
        <v>117</v>
      </c>
      <c r="N12" s="27">
        <v>930</v>
      </c>
      <c r="AA12" s="29"/>
      <c r="AB12" s="29"/>
      <c r="AC12" s="29"/>
      <c r="AD12" s="29"/>
      <c r="AE12" s="29"/>
      <c r="AF12" s="29"/>
    </row>
    <row r="13" spans="2:32" x14ac:dyDescent="0.25">
      <c r="B13" s="49" t="s">
        <v>29</v>
      </c>
      <c r="C13" s="26">
        <v>24000</v>
      </c>
      <c r="D13" s="26">
        <v>22920</v>
      </c>
      <c r="F13" s="49" t="s">
        <v>29</v>
      </c>
      <c r="G13" s="26">
        <v>17940</v>
      </c>
      <c r="H13" s="26">
        <v>19020</v>
      </c>
      <c r="J13" s="49" t="s">
        <v>29</v>
      </c>
      <c r="K13" s="26">
        <v>1080</v>
      </c>
      <c r="M13" s="25" t="s">
        <v>119</v>
      </c>
      <c r="N13" s="27">
        <v>1200</v>
      </c>
    </row>
    <row r="14" spans="2:32" x14ac:dyDescent="0.25">
      <c r="B14" s="49" t="s">
        <v>31</v>
      </c>
      <c r="C14" s="26">
        <v>16000</v>
      </c>
      <c r="D14" s="26">
        <v>16900</v>
      </c>
      <c r="F14" s="49" t="s">
        <v>31</v>
      </c>
      <c r="G14" s="26">
        <v>19020</v>
      </c>
      <c r="H14" s="26">
        <v>18120</v>
      </c>
      <c r="J14" s="49" t="s">
        <v>31</v>
      </c>
      <c r="K14" s="26">
        <v>-900</v>
      </c>
    </row>
    <row r="15" spans="2:32" x14ac:dyDescent="0.25">
      <c r="B15" s="49" t="s">
        <v>33</v>
      </c>
      <c r="C15" s="26">
        <v>20000</v>
      </c>
      <c r="D15" s="26">
        <v>19300</v>
      </c>
      <c r="F15" s="49" t="s">
        <v>33</v>
      </c>
      <c r="G15" s="26">
        <v>18120</v>
      </c>
      <c r="H15" s="26">
        <v>18820</v>
      </c>
      <c r="J15" s="49" t="s">
        <v>33</v>
      </c>
      <c r="K15" s="26">
        <v>700</v>
      </c>
    </row>
    <row r="16" spans="2:32" x14ac:dyDescent="0.25">
      <c r="B16" s="49" t="s">
        <v>141</v>
      </c>
      <c r="C16" s="26">
        <v>210760</v>
      </c>
      <c r="D16" s="26">
        <v>276940</v>
      </c>
      <c r="F16" s="49" t="s">
        <v>141</v>
      </c>
      <c r="G16" s="50">
        <v>519680</v>
      </c>
      <c r="H16" s="27">
        <v>453500</v>
      </c>
      <c r="J16" s="49" t="s">
        <v>141</v>
      </c>
      <c r="K16" s="27">
        <v>-66180</v>
      </c>
    </row>
    <row r="18" spans="3:11" x14ac:dyDescent="0.25">
      <c r="C18" s="9" t="s">
        <v>160</v>
      </c>
      <c r="D18" s="9" t="s">
        <v>158</v>
      </c>
      <c r="G18" s="9" t="s">
        <v>161</v>
      </c>
      <c r="H18" s="9" t="s">
        <v>162</v>
      </c>
      <c r="K18" s="9" t="s">
        <v>137</v>
      </c>
    </row>
    <row r="19" spans="3:11" x14ac:dyDescent="0.25">
      <c r="C19" s="26">
        <f>GETPIVOTDATA("Sum of Cash In",$B$2)</f>
        <v>210760</v>
      </c>
      <c r="D19" s="26">
        <f>GETPIVOTDATA("Sum of Cash Out",$B$2)</f>
        <v>276940</v>
      </c>
      <c r="G19" s="26" t="e">
        <f>GETPIVOTDATA("Sum of Beginning",$F$2)</f>
        <v>#REF!</v>
      </c>
      <c r="H19" s="26" t="e">
        <f>GETPIVOTDATA("Sum of Ending",$F$2)</f>
        <v>#REF!</v>
      </c>
      <c r="K19" s="30">
        <f>GETPIVOTDATA("Net Cash Flow",$J$2)</f>
        <v>-66180</v>
      </c>
    </row>
  </sheetData>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Cash Flow Forecast</vt:lpstr>
      <vt:lpstr>Task</vt:lpstr>
      <vt:lpstr>Answer</vt:lpstr>
      <vt:lpstr>Raw Data -&gt;</vt:lpstr>
      <vt:lpstr>Cash Position</vt:lpstr>
      <vt:lpstr>AR Collections</vt:lpstr>
      <vt:lpstr>Committed Expenses</vt:lpstr>
      <vt:lpstr>Projection -&gt;</vt:lpstr>
      <vt:lpstr>Cash Outflow </vt:lpstr>
      <vt:lpstr>Cash Inflow</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Giang Huynh</cp:lastModifiedBy>
  <cp:revision>0</cp:revision>
  <dcterms:created xsi:type="dcterms:W3CDTF">2026-06-10T16:31:46Z</dcterms:created>
  <dcterms:modified xsi:type="dcterms:W3CDTF">2026-10-21T14:36:56Z</dcterms:modified>
  <dc:language>en-US</dc:language>
</cp:coreProperties>
</file>